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el Review" sheetId="1" state="visible" r:id="rId1"/>
    <sheet xmlns:r="http://schemas.openxmlformats.org/officeDocument/2006/relationships" name="Rekap Metode" sheetId="2" state="visible" r:id="rId2"/>
  </sheets>
  <definedNames>
    <definedName name="_xlnm._FilterDatabase" localSheetId="0" hidden="1">'Tabel Review'!$A$4:$AA$44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80808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7" customWidth="1" min="4" max="4"/>
    <col width="40" customWidth="1" min="5" max="5"/>
    <col width="24" customWidth="1" min="6" max="6"/>
    <col width="22" customWidth="1" min="7" max="7"/>
    <col width="12" customWidth="1" min="8" max="8"/>
    <col width="20" customWidth="1" min="9" max="9"/>
    <col width="34" customWidth="1" min="10" max="10"/>
    <col width="34" customWidth="1" min="11" max="11"/>
    <col width="34" customWidth="1" min="12" max="12"/>
    <col width="18" customWidth="1" min="13" max="13"/>
    <col width="30" customWidth="1" min="14" max="14"/>
    <col width="24" customWidth="1" min="15" max="15"/>
    <col width="34" customWidth="1" min="16" max="16"/>
    <col width="20" customWidth="1" min="17" max="17"/>
    <col width="28" customWidth="1" min="18" max="18"/>
    <col width="30" customWidth="1" min="19" max="19"/>
    <col width="22" customWidth="1" min="20" max="20"/>
    <col width="26" customWidth="1" min="21" max="21"/>
    <col width="34" customWidth="1" min="22" max="22"/>
    <col width="30" customWidth="1" min="23" max="23"/>
    <col width="38" customWidth="1" min="24" max="24"/>
    <col width="30" customWidth="1" min="25" max="25"/>
    <col width="30" customWidth="1" min="26" max="26"/>
    <col width="10" customWidth="1" min="27" max="27"/>
  </cols>
  <sheetData>
    <row r="1">
      <c r="A1" s="1" t="inlineStr">
        <is>
          <t>Tabel Review 40 Paper: Metode Pengolahan Dataset Diabetes dan Komplikasinya (2023-2026)</t>
        </is>
      </c>
    </row>
    <row r="2">
      <c r="A2" s="2" t="inlineStr">
        <is>
          <t>Semua isi diekstrak dari full text. Kolom mengikuti data extraction form Kitchenham &amp; Charters (2007) yang disesuaikan dengan checklist CHARMS untuk studi model prediksi.</t>
        </is>
      </c>
    </row>
    <row r="4" ht="44" customHeight="1">
      <c r="A4" s="3" t="inlineStr">
        <is>
          <t>No</t>
        </is>
      </c>
      <c r="B4" s="3" t="inlineStr">
        <is>
          <t>Kategori</t>
        </is>
      </c>
      <c r="C4" s="3" t="inlineStr">
        <is>
          <t>Penulis</t>
        </is>
      </c>
      <c r="D4" s="3" t="inlineStr">
        <is>
          <t>Tahun</t>
        </is>
      </c>
      <c r="E4" s="3" t="inlineStr">
        <is>
          <t>Judul</t>
        </is>
      </c>
      <c r="F4" s="3" t="inlineStr">
        <is>
          <t>Jurnal</t>
        </is>
      </c>
      <c r="G4" s="3" t="inlineStr">
        <is>
          <t>DOI</t>
        </is>
      </c>
      <c r="H4" s="3" t="inlineStr">
        <is>
          <t>Lisensi</t>
        </is>
      </c>
      <c r="I4" s="3" t="inlineStr">
        <is>
          <t>File PDF</t>
        </is>
      </c>
      <c r="J4" s="3" t="inlineStr">
        <is>
          <t>Tujuan Penelitian</t>
        </is>
      </c>
      <c r="K4" s="3" t="inlineStr">
        <is>
          <t>Gap Penelitian</t>
        </is>
      </c>
      <c r="L4" s="3" t="inlineStr">
        <is>
          <t>Kontribusi</t>
        </is>
      </c>
      <c r="M4" s="3" t="inlineStr">
        <is>
          <t>Target / Outcome</t>
        </is>
      </c>
      <c r="N4" s="3" t="inlineStr">
        <is>
          <t>Sumber Data</t>
        </is>
      </c>
      <c r="O4" s="3" t="inlineStr">
        <is>
          <t>Jumlah Sampel</t>
        </is>
      </c>
      <c r="P4" s="3" t="inlineStr">
        <is>
          <t>Preprocessing (Missing / Outlier / Scaling)</t>
        </is>
      </c>
      <c r="Q4" s="3" t="inlineStr">
        <is>
          <t>Penanganan Imbalance</t>
        </is>
      </c>
      <c r="R4" s="3" t="inlineStr">
        <is>
          <t>Seleksi Fitur</t>
        </is>
      </c>
      <c r="S4" s="3" t="inlineStr">
        <is>
          <t>Model</t>
        </is>
      </c>
      <c r="T4" s="3" t="inlineStr">
        <is>
          <t>Skema Validasi</t>
        </is>
      </c>
      <c r="U4" s="3" t="inlineStr">
        <is>
          <t>Metrik</t>
        </is>
      </c>
      <c r="V4" s="3" t="inlineStr">
        <is>
          <t>Hasil Utama</t>
        </is>
      </c>
      <c r="W4" s="3" t="inlineStr">
        <is>
          <t>Interpretabilitas</t>
        </is>
      </c>
      <c r="X4" s="3" t="inlineStr">
        <is>
          <t>Keterbatasan (penulis + catatan reviewer)</t>
        </is>
      </c>
      <c r="Y4" s="3" t="inlineStr">
        <is>
          <t>Kesimpulan</t>
        </is>
      </c>
      <c r="Z4" s="3" t="inlineStr">
        <is>
          <t>Relevansi ke Dataset Zenodo</t>
        </is>
      </c>
      <c r="AA4" s="3" t="inlineStr">
        <is>
          <t>Verifikasi</t>
        </is>
      </c>
    </row>
    <row r="5">
      <c r="A5" s="4" t="n">
        <v>1</v>
      </c>
      <c r="B5" s="4" t="inlineStr">
        <is>
          <t>Retinopati (DR)</t>
        </is>
      </c>
      <c r="C5" s="4" t="inlineStr">
        <is>
          <t>Wang X, Shen P, Zhao G, Li J, Zhu Y, Li Y, Xu H, Liu J, Cui R</t>
        </is>
      </c>
      <c r="D5" s="4" t="n">
        <v>2024</v>
      </c>
      <c r="E5" s="4" t="inlineStr">
        <is>
          <t>An enhanced machine learning algorithm for type 2 diabetes prognosis with a detailed examination of key correlates</t>
        </is>
      </c>
      <c r="F5" s="4" t="inlineStr">
        <is>
          <t>Scientific Reports, 14</t>
        </is>
      </c>
      <c r="G5" s="4" t="inlineStr">
        <is>
          <t>10.1038/s41598-024-75898-w</t>
        </is>
      </c>
      <c r="H5" s="4" t="inlineStr">
        <is>
          <t>CC BY 4.0</t>
        </is>
      </c>
      <c r="I5" s="4" t="inlineStr">
        <is>
          <t>papers/01_Wang2024.pdf</t>
        </is>
      </c>
      <c r="J5" s="4" t="inlineStr">
        <is>
          <t>Membangun model prediksi DR berperforma tinggi pada T2DM dan mengidentifikasi korelat kuncinya, sekaligus membandingkan ML dengan regresi logistik.</t>
        </is>
      </c>
      <c r="K5" s="4" t="inlineStr">
        <is>
          <t>Statistik konvensional mudah underfit dan kurang mampu menangani banyak fitur; seleksi fitur, tuning, serta analisis efek dan interaksi fitur masih bisa ditingkatkan.</t>
        </is>
      </c>
      <c r="L5" s="4" t="inlineStr">
        <is>
          <t>RFECV untuk membuang fitur redundan; perbandingan 4 model ML yang di-tuning; klaim penggunaan pertama GBDT untuk DR; 6 korelat (AUC 0,867) vs 27 faktor LR (AUC 0,834).</t>
        </is>
      </c>
      <c r="M5" s="4" t="inlineStr">
        <is>
          <t>Klasifikasi biner DR vs non-DR</t>
        </is>
      </c>
      <c r="N5" s="4" t="inlineStr">
        <is>
          <t>Diabetes Complication Early Warning Dataset, PLA General Hospital (via National Population Health Science Data Center), Tiongkok, 2021</t>
        </is>
      </c>
      <c r="O5" s="4" t="inlineStr">
        <is>
          <t>3.000 (1.500 DR / 1.500 non-DR); 85 kandidat fitur dari 86 variabel</t>
        </is>
      </c>
      <c r="P5" s="4" t="inlineStr">
        <is>
          <t>52 dari 86 fitur memiliki missing; fitur dengan missing &gt;50% sebagian besar dibuang; imputasi modus (kategorikal) dan mean (kontinu); normalisasi Min-Max [0,1]</t>
        </is>
      </c>
      <c r="Q5" s="4" t="inlineStr">
        <is>
          <t>Tidak perlu (kelas seimbang sejak desain)</t>
        </is>
      </c>
      <c r="R5" s="4" t="inlineStr">
        <is>
          <t>RFECV 3-fold, akhir 6 fitur: HbA1c, protein urin 24 jam, kreatinin serum, rasio albumin/kreatinin, urea, C-peptida</t>
        </is>
      </c>
      <c r="S5" s="4" t="inlineStr">
        <is>
          <t>LR (baseline), SVM, DT, RF, GBDT; tuning grid search + CV</t>
        </is>
      </c>
      <c r="T5" s="4" t="inlineStr">
        <is>
          <t>Split 50% train / 25% validasi / 25% test; tanpa validasi eksternal</t>
        </is>
      </c>
      <c r="U5" s="4" t="inlineStr">
        <is>
          <t>Accuracy, Precision, Recall, F1, AUC, ROC</t>
        </is>
      </c>
      <c r="V5" s="4" t="inlineStr">
        <is>
          <t>GBDT terbaik: Acc 0,788; Prec 0,830; Rec 0,754; F1 0,790; AUC 0,867. LR 27 faktor: Acc 0,773; AUC 0,834</t>
        </is>
      </c>
      <c r="W5" s="4" t="inlineStr">
        <is>
          <t>SHAP (swarm, violin, dependence, interaction); C-peptida protektif; ACR dan protein urin 24 jam menaikkan risiko; 6 pasangan interaksi fitur</t>
        </is>
      </c>
      <c r="X5" s="4" t="inlineStr">
        <is>
          <t>Sampel hanya pasien Tiongkok; imputasi mean menambah error; durasi diabetes tidak tersedia; analisis interaksi masih eksploratif. Catatan reviewer: tidak ada validasi eksternal walau judul subbab menyebutnya.</t>
        </is>
      </c>
      <c r="Y5" s="4" t="inlineStr">
        <is>
          <t>GBDT dengan 6 faktor yang mudah dijelaskan lebih akurat daripada LR dengan 27 faktor.</t>
        </is>
      </c>
      <c r="Z5" s="4" t="inlineStr">
        <is>
          <t>Sangat tinggi: data tabular RS Tiongkok dengan banyak variabel lab dan missing, target komplikasi; pipeline lengkap dari imputasi sampai SHAP.</t>
        </is>
      </c>
      <c r="AA5" s="4" t="inlineStr">
        <is>
          <t>Full text</t>
        </is>
      </c>
    </row>
    <row r="6">
      <c r="A6" s="5" t="n">
        <v>2</v>
      </c>
      <c r="B6" s="5" t="inlineStr">
        <is>
          <t>Retinopati (DR)</t>
        </is>
      </c>
      <c r="C6" s="5" t="inlineStr">
        <is>
          <t>Li B, Hu L, Zhang S, Li S, Tang W, Chen G</t>
        </is>
      </c>
      <c r="D6" s="5" t="n">
        <v>2024</v>
      </c>
      <c r="E6" s="5" t="inlineStr">
        <is>
          <t>The application and clinical translation of the self-evolving machine learning methods in predicting diabetic retinopathy and visualizing clinical transformation</t>
        </is>
      </c>
      <c r="F6" s="5" t="inlineStr">
        <is>
          <t>Frontiers in Endocrinology, 15:1429974</t>
        </is>
      </c>
      <c r="G6" s="5" t="inlineStr">
        <is>
          <t>10.3389/fendo.2024.1429974</t>
        </is>
      </c>
      <c r="H6" s="5" t="inlineStr">
        <is>
          <t>CC BY</t>
        </is>
      </c>
      <c r="I6" s="5" t="inlineStr">
        <is>
          <t>papers/02_Li2024.pdf</t>
        </is>
      </c>
      <c r="J6" s="5" t="inlineStr">
        <is>
          <t>Menilai ML self-evolving untuk prediksi DR dan membangun alat visualisasi risiko individual.</t>
        </is>
      </c>
      <c r="K6" s="5" t="inlineStr">
        <is>
          <t>Model prediksi DR sebelumnya mayoritas model linear tergeneralisasi; ML self-evolving belum jelas diterapkan pada DR.</t>
        </is>
      </c>
      <c r="L6" s="5" t="inlineStr">
        <is>
          <t>Improved Beetle Antennae Search (IBAS: inisialisasi chaos, mutasi distribusi-t adaptif, random walk); model IBAS-XGB; perangkat lunak visualisasi.</t>
        </is>
      </c>
      <c r="M6" s="5" t="inlineStr">
        <is>
          <t>Klasifikasi biner DR vs non-DR</t>
        </is>
      </c>
      <c r="N6" s="5" t="inlineStr">
        <is>
          <t>Ganzhou People's Hospital, Tiongkok, Jan 2022 - Okt 2023 (satu RS)</t>
        </is>
      </c>
      <c r="O6" s="5" t="inlineStr">
        <is>
          <t>300 (150 DR / 150 non-DR); 19 kandidat variabel</t>
        </is>
      </c>
      <c r="P6" s="5" t="inlineStr">
        <is>
          <t>Normalisasi Z-score; hanya pasien dengan data lengkap</t>
        </is>
      </c>
      <c r="Q6" s="5" t="inlineStr">
        <is>
          <t>Tidak perlu (seimbang sejak desain)</t>
        </is>
      </c>
      <c r="R6" s="5" t="inlineStr">
        <is>
          <t>Uji univariat (P&lt;0,05) lalu regresi logistik multivariat, 8 prediktor</t>
        </is>
      </c>
      <c r="S6" s="5" t="inlineStr">
        <is>
          <t>LR, SVM, XGBoost (grid search) vs IBAS-XGB</t>
        </is>
      </c>
      <c r="T6" s="5" t="inlineStr">
        <is>
          <t>Split 80/20 (240/60) + 5-fold CV di training; tanpa validasi eksternal</t>
        </is>
      </c>
      <c r="U6" s="5" t="inlineStr">
        <is>
          <t>Precision, Sensitivity, Specificity, Accuracy, F1, ROC-AUC, PR-AUC</t>
        </is>
      </c>
      <c r="V6" s="5" t="inlineStr">
        <is>
          <t>IBAS-XGB terbaik: ROC-AUC 0,860; PR-AUC 0,883; Acc 0,850; F1 0,848. XGBoost 0,824; SVM 0,727; LR 0,652</t>
        </is>
      </c>
      <c r="W6" s="5" t="inlineStr">
        <is>
          <t>Odds ratio LR: jenis kelamin laki-laki (3,10), HbA1c (2,70), tekanan sistolik (2,67)</t>
        </is>
      </c>
      <c r="X6" s="5" t="inlineStr">
        <is>
          <t>Retrospektif, satu RS, sampel kecil (test hanya 60), biaya komputasi IBAS tinggi; tidak ada uji statistik antar model.</t>
        </is>
      </c>
      <c r="Y6" s="5" t="inlineStr">
        <is>
          <t>ML self-evolving membantu identifikasi fitur DR dan prediksi dini; perlu validasi multisenter.</t>
        </is>
      </c>
      <c r="Z6" s="5" t="inlineStr">
        <is>
          <t>Sedang: ide tuning hyperparameter metaheuristik, tapi sampel kecil.</t>
        </is>
      </c>
      <c r="AA6" s="5" t="inlineStr">
        <is>
          <t>Full text</t>
        </is>
      </c>
    </row>
    <row r="7">
      <c r="A7" s="4" t="n">
        <v>3</v>
      </c>
      <c r="B7" s="4" t="inlineStr">
        <is>
          <t>Retinopati (DR)</t>
        </is>
      </c>
      <c r="C7" s="4" t="inlineStr">
        <is>
          <t>Liu X, Wu S, Yang Y, Li Y, Zhang X, Liu R, Qin L, Li F</t>
        </is>
      </c>
      <c r="D7" s="4" t="n">
        <v>2025</v>
      </c>
      <c r="E7" s="4" t="inlineStr">
        <is>
          <t>Development of machine learning predictive model for type 2 diabetic retinopathy using the triglyceride-glucose index explained by SHAP method</t>
        </is>
      </c>
      <c r="F7" s="4" t="inlineStr">
        <is>
          <t>Frontiers in Endocrinology, 16:1631647</t>
        </is>
      </c>
      <c r="G7" s="4" t="inlineStr">
        <is>
          <t>10.3389/fendo.2025.1631647</t>
        </is>
      </c>
      <c r="H7" s="4" t="inlineStr">
        <is>
          <t>CC BY</t>
        </is>
      </c>
      <c r="I7" s="4" t="inlineStr">
        <is>
          <t>papers/03_Liu2025.pdf</t>
        </is>
      </c>
      <c r="J7" s="4" t="inlineStr">
        <is>
          <t>Membangun model prediksi DR dengan indeks TyG sebagai prediktor baru dan menjelaskannya dengan SHAP.</t>
        </is>
      </c>
      <c r="K7" s="4" t="inlineStr">
        <is>
          <t>Sedikit model DR yang memasukkan resistensi insulin; HOMA-IR butuh insulin puasa yang jarang tersedia di layanan primer.</t>
        </is>
      </c>
      <c r="L7" s="4" t="inlineStr">
        <is>
          <t>Model ML pertama untuk DR dengan TyG sebagai prediktor inti; validasi lintas RS kota dan kabupaten; interpretasi SHAP.</t>
        </is>
      </c>
      <c r="M7" s="4" t="inlineStr">
        <is>
          <t>Klasifikasi biner DR vs non-DR</t>
        </is>
      </c>
      <c r="N7" s="4" t="inlineStr">
        <is>
          <t>First Hospital of Jilin University + Meihekou Central Hospital, Tiongkok, 2010-2023</t>
        </is>
      </c>
      <c r="O7" s="4" t="inlineStr">
        <is>
          <t>3.750 (1.392 DR / 2.358 non-DR); ukuran sampel minimal dihitung dengan metode Riley</t>
        </is>
      </c>
      <c r="P7" s="4" t="inlineStr">
        <is>
          <t>Buang pasien missing &gt;20%; buang variabel missing &gt;20% (C-peptida, insulin, CRP); imputasi mean dan modus; fitur turunan TyG = ln(TG x FPG / 2); VIF</t>
        </is>
      </c>
      <c r="Q7" s="4" t="inlineStr">
        <is>
          <t>Tidak ada (rasio sekitar 37:63)</t>
        </is>
      </c>
      <c r="R7" s="4" t="inlineStr">
        <is>
          <t>Variabel P&lt;0,1 masuk RFECV, tersisa 9 fitur</t>
        </is>
      </c>
      <c r="S7" s="4" t="inlineStr">
        <is>
          <t>LR, DT, SVM, RF, XGBoost</t>
        </is>
      </c>
      <c r="T7" s="4" t="inlineStr">
        <is>
          <t>Split 7:3 + 5-fold CV</t>
        </is>
      </c>
      <c r="U7" s="4" t="inlineStr">
        <is>
          <t>Accuracy, Sensitivity, Specificity, Precision, F1, AUC</t>
        </is>
      </c>
      <c r="V7" s="4" t="inlineStr">
        <is>
          <t>LR dan SVM terbaik: AUC test 0,85; 5-fold CV LR 0,824 +/- 0,012, SVM 0,815 +/- 0,007</t>
        </is>
      </c>
      <c r="W7" s="4" t="inlineStr">
        <is>
          <t>SHAP (TreeExplainer) + PDP: TyG, terapi insulin, HbA1c, durasi DM, HDL; efek non-linear di TyG &gt; 4</t>
        </is>
      </c>
      <c r="X7" s="4" t="inlineStr">
        <is>
          <t>Validasi internal saja; imputasi mean/modus sederhana; stadium DR tidak dibedakan.</t>
        </is>
      </c>
      <c r="Y7" s="4" t="inlineStr">
        <is>
          <t>TyG adalah prediktor murah dan berguna untuk skrining DR di layanan primer.</t>
        </is>
      </c>
      <c r="Z7" s="4" t="inlineStr">
        <is>
          <t>Sangat tinggi: dataset Zenodo memiliki lipid, glukosa, dan insulin sehingga TyG bisa dihitung.</t>
        </is>
      </c>
      <c r="AA7" s="4" t="inlineStr">
        <is>
          <t>Full text</t>
        </is>
      </c>
    </row>
    <row r="8">
      <c r="A8" s="5" t="n">
        <v>4</v>
      </c>
      <c r="B8" s="5" t="inlineStr">
        <is>
          <t>Retinopati (DR)</t>
        </is>
      </c>
      <c r="C8" s="5" t="inlineStr">
        <is>
          <t>Kim MS, Choi YW, Prakash BS, Lee Y, Lim S, Woo SJ</t>
        </is>
      </c>
      <c r="D8" s="5" t="n">
        <v>2025</v>
      </c>
      <c r="E8" s="5" t="inlineStr">
        <is>
          <t>A machine learning-based prediction of diabetic retinopathy using the Korea national health and nutrition examination survey (2008-2012, 2017-2021)</t>
        </is>
      </c>
      <c r="F8" s="5" t="inlineStr">
        <is>
          <t>Frontiers in Medicine, 12:1542860</t>
        </is>
      </c>
      <c r="G8" s="5" t="inlineStr">
        <is>
          <t>10.3389/fmed.2025.1542860</t>
        </is>
      </c>
      <c r="H8" s="5" t="inlineStr">
        <is>
          <t>CC BY</t>
        </is>
      </c>
      <c r="I8" s="5" t="inlineStr">
        <is>
          <t>papers/04_Kim2025.pdf</t>
        </is>
      </c>
      <c r="J8" s="5" t="inlineStr">
        <is>
          <t>Mengembangkan dan membandingkan algoritma ML untuk prediksi DR tanpa citra fundus.</t>
        </is>
      </c>
      <c r="K8" s="5" t="inlineStr">
        <is>
          <t>Fasilitas tanpa kamera fundus butuh alat skrining dari data klinis rutin.</t>
        </is>
      </c>
      <c r="L8" s="5" t="inlineStr">
        <is>
          <t>Model DR dari survei nasional representatif; perbandingan LR vs XGB, DT, RF; SHAP.</t>
        </is>
      </c>
      <c r="M8" s="5" t="inlineStr">
        <is>
          <t>Klasifikasi biner DR vs non-DR</t>
        </is>
      </c>
      <c r="N8" s="5" t="inlineStr">
        <is>
          <t>KNHANES, Korea Selatan, 2008-2012 dan 2017-2021</t>
        </is>
      </c>
      <c r="O8" s="5" t="inlineStr">
        <is>
          <t>3.026 (671 DR = 22,2%)</t>
        </is>
      </c>
      <c r="P8" s="5" t="inlineStr">
        <is>
          <t>Complete-case: hanya peserta tanpa missing pada variabel analisis</t>
        </is>
      </c>
      <c r="Q8" s="5" t="inlineStr">
        <is>
          <t>Tidak ada; threshold Youden</t>
        </is>
      </c>
      <c r="R8" s="5" t="inlineStr">
        <is>
          <t>RFECV 5-fold, 16 variabel</t>
        </is>
      </c>
      <c r="S8" s="5" t="inlineStr">
        <is>
          <t>LR, XGBoost, DT, RF; RandomizedSearchCV / grid search</t>
        </is>
      </c>
      <c r="T8" s="5" t="inlineStr">
        <is>
          <t>Split 8:2 (2.420 / 606)</t>
        </is>
      </c>
      <c r="U8" s="5" t="inlineStr">
        <is>
          <t>AUC (95% CI), Sensitivity, Specificity, Accuracy, PPV, NPV</t>
        </is>
      </c>
      <c r="V8" s="5" t="inlineStr">
        <is>
          <t>RF terbaik: AUC 0,748; Sens 0,669; Spec 0,729; Acc 0,715. LR 0,744; XGB 0,731; DT 0,651</t>
        </is>
      </c>
      <c r="W8" s="5" t="inlineStr">
        <is>
          <t>SHAP: HbA1c, gula puasa, durasi DM, BMI</t>
        </is>
      </c>
      <c r="X8" s="5" t="inlineStr">
        <is>
          <t>Stadium DR tidak tersedia; hanya populasi Korea; complete-case membuang data.</t>
        </is>
      </c>
      <c r="Y8" s="5" t="inlineStr">
        <is>
          <t>Model ML dari data klinis cukup andal tanpa fundus dan bisa menjadi CDSS.</t>
        </is>
      </c>
      <c r="Z8" s="5" t="inlineStr">
        <is>
          <t>Tinggi: contoh jujur bahwa ML tidak selalu jauh lebih baik daripada LR.</t>
        </is>
      </c>
      <c r="AA8" s="5" t="inlineStr">
        <is>
          <t>Full text</t>
        </is>
      </c>
    </row>
    <row r="9">
      <c r="A9" s="4" t="n">
        <v>5</v>
      </c>
      <c r="B9" s="4" t="inlineStr">
        <is>
          <t>Retinopati (DR)</t>
        </is>
      </c>
      <c r="C9" s="4" t="inlineStr">
        <is>
          <t>Pan H, Sun J, Luo X, Ai H, Zeng J, Shi R, Zhang A</t>
        </is>
      </c>
      <c r="D9" s="4" t="n">
        <v>2023</v>
      </c>
      <c r="E9" s="4" t="inlineStr">
        <is>
          <t>A risk prediction model for type 2 diabetes mellitus complicated with retinopathy based on machine learning and its application in health management</t>
        </is>
      </c>
      <c r="F9" s="4" t="inlineStr">
        <is>
          <t>Frontiers in Medicine, 10:1136653</t>
        </is>
      </c>
      <c r="G9" s="4" t="inlineStr">
        <is>
          <t>10.3389/fmed.2023.1136653</t>
        </is>
      </c>
      <c r="H9" s="4" t="inlineStr">
        <is>
          <t>CC BY</t>
        </is>
      </c>
      <c r="I9" s="4" t="inlineStr">
        <is>
          <t>papers/05_Pan2023.pdf</t>
        </is>
      </c>
      <c r="J9" s="4" t="inlineStr">
        <is>
          <t>Membangun model risiko DR dengan indikator sesedikit mungkin untuk pasien T2DM di Tiongkok.</t>
        </is>
      </c>
      <c r="K9" s="4" t="inlineStr">
        <is>
          <t>Model DR yang ada memakai banyak indikator yang sebagian sulit diperoleh.</t>
        </is>
      </c>
      <c r="L9" s="4" t="inlineStr">
        <is>
          <t>Seleksi fitur 4 metode dengan aturan voting (terpilih di &gt;=3 metode); nomogram dan kalkulator web.</t>
        </is>
      </c>
      <c r="M9" s="4" t="inlineStr">
        <is>
          <t>Risiko DR pada T2DM</t>
        </is>
      </c>
      <c r="N9" s="4" t="inlineStr">
        <is>
          <t>6 komunitas di Yangpu dan Pudong, Shanghai, Tiongkok, Okt 2014 - Apr 2015</t>
        </is>
      </c>
      <c r="O9" s="4" t="inlineStr">
        <is>
          <t>2.385 (DR sekitar 20,5%); 23 kandidat faktor</t>
        </is>
      </c>
      <c r="P9" s="4" t="inlineStr">
        <is>
          <t>Complete-case (pasien dengan data hilang atau abnormal dikeluarkan); normalisasi untuk LASSO</t>
        </is>
      </c>
      <c r="Q9" s="4" t="inlineStr">
        <is>
          <t>Tidak ada</t>
        </is>
      </c>
      <c r="R9" s="4" t="inlineStr">
        <is>
          <t>LASSO, RF-RFE, XGBoost, BPNN; prediktor akhir: HbA1c, durasi, gula 2 jam PP, usia, SBP, ACR</t>
        </is>
      </c>
      <c r="S9" s="4" t="inlineStr">
        <is>
          <t>Regresi logistik Model I (6 prediktor) vs Model II (studi terdahulu)</t>
        </is>
      </c>
      <c r="T9" s="4" t="inlineStr">
        <is>
          <t>Split 7:3; 10-fold CV untuk LASSO</t>
        </is>
      </c>
      <c r="U9" s="4" t="inlineStr">
        <is>
          <t>AUC, Accuracy, Precision, Recall, F1, Balanced accuracy, kalibrasi, NRI</t>
        </is>
      </c>
      <c r="V9" s="4" t="inlineStr">
        <is>
          <t>AUC test Model I 0,679 = Model II 0,679; recall hanya 0,035; NRI 0,004 (CI melewati nol)</t>
        </is>
      </c>
      <c r="W9" s="4" t="inlineStr">
        <is>
          <t>Nomogram dan persamaan regresi</t>
        </is>
      </c>
      <c r="X9" s="4" t="inlineStr">
        <is>
          <t>Cross-sectional, satu wilayah, tanpa faktor gaya hidup. Catatan reviewer: peningkatan praktis nihil dan recall sangat rendah akibat data tidak seimbang tidak ditangani.</t>
        </is>
      </c>
      <c r="Y9" s="4" t="inlineStr">
        <is>
          <t>Model 6 variabel diklaim lebih baik dan berguna untuk skrining DR oleh dokter umum.</t>
        </is>
      </c>
      <c r="Z9" s="4" t="inlineStr">
        <is>
          <t>Sedang: teknik voting seleksi fitur bagus, tapi hasilnya contoh pentingnya menangani imbalance.</t>
        </is>
      </c>
      <c r="AA9" s="4" t="inlineStr">
        <is>
          <t>Full text</t>
        </is>
      </c>
    </row>
    <row r="10">
      <c r="A10" s="5" t="n">
        <v>6</v>
      </c>
      <c r="B10" s="5" t="inlineStr">
        <is>
          <t>Retinopati (DR)</t>
        </is>
      </c>
      <c r="C10" s="5" t="inlineStr">
        <is>
          <t>Kim S, Park J, Son Y, Lee H, Woo S, Lee M, Lee H, Sang H, Yon DK, Rhee SY</t>
        </is>
      </c>
      <c r="D10" s="5" t="n">
        <v>2025</v>
      </c>
      <c r="E10" s="5" t="inlineStr">
        <is>
          <t>Development and Validation of a Machine Learning Algorithm for Predicting Diabetes Retinopathy in Patients With Type 2 Diabetes: Algorithm Development Study</t>
        </is>
      </c>
      <c r="F10" s="5" t="inlineStr">
        <is>
          <t>JMIR Medical Informatics, 13:e58107</t>
        </is>
      </c>
      <c r="G10" s="5" t="inlineStr">
        <is>
          <t>10.2196/58107</t>
        </is>
      </c>
      <c r="H10" s="5" t="inlineStr">
        <is>
          <t>CC BY 4.0</t>
        </is>
      </c>
      <c r="I10" s="5" t="inlineStr">
        <is>
          <t>papers/06_Kim2025.pdf</t>
        </is>
      </c>
      <c r="J10" s="5" t="inlineStr">
        <is>
          <t>Memprediksi DR dalam 3 tahun pada T2DM dari data EMR rutin.</t>
        </is>
      </c>
      <c r="K10" s="5" t="inlineStr">
        <is>
          <t>Kinerja model prediktif DR berbasis data klinis masih belum mapan; riset AI DR didominasi citra fundus.</t>
        </is>
      </c>
      <c r="L10" s="5" t="inlineStr">
        <is>
          <t>Model tabular untuk layanan primer; dislipidemia dan kanker sebagai prediktor utama; validasi eksternal 2 RS.</t>
        </is>
      </c>
      <c r="M10" s="5" t="inlineStr">
        <is>
          <t>DR dalam 3 tahun</t>
        </is>
      </c>
      <c r="N10" s="5" t="inlineStr">
        <is>
          <t>EMR Korea 2008-2022: Kyung Hee University Medical Center (discovery), 2 RS lain (validasi)</t>
        </is>
      </c>
      <c r="O10" s="5" t="inlineStr">
        <is>
          <t>Discovery 14.694 (DR 2,37%); validasi 1.856 (DR 7,38%); 57 kandidat variabel</t>
        </is>
      </c>
      <c r="P10" s="5" t="inlineStr">
        <is>
          <t>Pasien dengan data hilang dikeluarkan; nilai lab terakhir sebelum onset dirata-rata, juga variabilitas (SD)</t>
        </is>
      </c>
      <c r="Q10" s="5" t="inlineStr">
        <is>
          <t>SMOTE</t>
        </is>
      </c>
      <c r="R10" s="5" t="inlineStr">
        <is>
          <t>Ranking feature importance XGBoost (top 15)</t>
        </is>
      </c>
      <c r="S10" s="5" t="inlineStr">
        <is>
          <t>AdaBoost, CatBoost, LightGBM, RF, XGBoost; GridSearchCV</t>
        </is>
      </c>
      <c r="T10" s="5" t="inlineStr">
        <is>
          <t>Stratified 10-fold CV (internal) + validasi eksternal 2 RS</t>
        </is>
      </c>
      <c r="U10" s="5" t="inlineStr">
        <is>
          <t>AUROC, Accuracy, Sensitivity, Specificity, Balanced accuracy, Precision, F1, AUPRC</t>
        </is>
      </c>
      <c r="V10" s="5" t="inlineStr">
        <is>
          <t>XGBoost: AUROC internal 0,824, eksternal 0,717; Acc 75,1% vs 65,1%</t>
        </is>
      </c>
      <c r="W10" s="5" t="inlineStr">
        <is>
          <t>Feature importance: dislipidemia, kanker, hipertensi, CKD, variabilitas HbA1c dan glukosa</t>
        </is>
      </c>
      <c r="X10" s="5" t="inlineStr">
        <is>
          <t>Satu etnis; DR dari kode ICD; stadium DR tidak dimodelkan; performa turun di data eksternal.</t>
        </is>
      </c>
      <c r="Y10" s="5" t="inlineStr">
        <is>
          <t>XGBoost dapat memprediksi risiko DR 3 tahun dari data rutin, dengan penurunan performa di validasi eksternal.</t>
        </is>
      </c>
      <c r="Z10" s="5" t="inlineStr">
        <is>
          <t>Sedang: contoh validasi eksternal dan fitur variabilitas lab.</t>
        </is>
      </c>
      <c r="AA10" s="5" t="inlineStr">
        <is>
          <t>Full text</t>
        </is>
      </c>
    </row>
    <row r="11">
      <c r="A11" s="4" t="n">
        <v>7</v>
      </c>
      <c r="B11" s="4" t="inlineStr">
        <is>
          <t>Ginjal (DKD)</t>
        </is>
      </c>
      <c r="C11" s="4" t="inlineStr">
        <is>
          <t>Liu XZ, Duan M, Huang HD, Zhang Y, Xiang TY, Niu WC, Zhou B, Wang HL, Zhang TT</t>
        </is>
      </c>
      <c r="D11" s="4" t="n">
        <v>2023</v>
      </c>
      <c r="E11" s="4" t="inlineStr">
        <is>
          <t>Predicting diabetic kidney disease for type 2 diabetes mellitus by machine learning in the real world: a multicenter retrospective study</t>
        </is>
      </c>
      <c r="F11" s="4" t="inlineStr">
        <is>
          <t>Frontiers in Endocrinology, 14:1184190</t>
        </is>
      </c>
      <c r="G11" s="4" t="inlineStr">
        <is>
          <t>10.3389/fendo.2023.1184190</t>
        </is>
      </c>
      <c r="H11" s="4" t="inlineStr">
        <is>
          <t>CC BY</t>
        </is>
      </c>
      <c r="I11" s="4" t="inlineStr">
        <is>
          <t>papers/07_Liu2023.pdf</t>
        </is>
      </c>
      <c r="J11" s="4" t="inlineStr">
        <is>
          <t>Membangun model ML untuk diagnosis bantu DKD pada T2DM.</t>
        </is>
      </c>
      <c r="K11" s="4" t="inlineStr">
        <is>
          <t>Belum ada gold standard penilaian DKD selain biopsi; studi besar di populasi Tiongkok masih sedikit.</t>
        </is>
      </c>
      <c r="L11" s="4" t="inlineStr">
        <is>
          <t>Klaim penggunaan pertama CatBoost untuk DKD; perbandingan 15 algoritma; model ringkas 12 fitur; SHAP.</t>
        </is>
      </c>
      <c r="M11" s="4" t="inlineStr">
        <is>
          <t>Klasifikasi DKD vs T2DM tanpa DKD</t>
        </is>
      </c>
      <c r="N11" s="4" t="inlineStr">
        <is>
          <t>Platform Yidu-Cloud, 7 institusi di Tiongkok (periode tertulis tidak konsisten antara abstrak dan metode)</t>
        </is>
      </c>
      <c r="O11" s="4" t="inlineStr">
        <is>
          <t>3.624 (1.856 DKD / 1.768 non-DKD); 53 kandidat variabel</t>
        </is>
      </c>
      <c r="P11" s="4" t="inlineStr">
        <is>
          <t>Pasien missing &gt;25% dikeluarkan; sisa missing diimputasi MICE</t>
        </is>
      </c>
      <c r="Q11" s="4" t="inlineStr">
        <is>
          <t>Tidak perlu (hampir seimbang)</t>
        </is>
      </c>
      <c r="R11" s="4" t="inlineStr">
        <is>
          <t>LASSO 53 menjadi 38 fitur; model ringkas 12 fitur teratas SHAP</t>
        </is>
      </c>
      <c r="S11" s="4" t="inlineStr">
        <is>
          <t>15 algoritma via PyCaret; CatBoost dituning Bayesian optimization</t>
        </is>
      </c>
      <c r="T11" s="4" t="inlineStr">
        <is>
          <t>Stratified split 80/20 + 10-fold CV</t>
        </is>
      </c>
      <c r="U11" s="4" t="inlineStr">
        <is>
          <t>AUC, Accuracy, Sensitivity</t>
        </is>
      </c>
      <c r="V11" s="4" t="inlineStr">
        <is>
          <t>CatBoost: AUC 0,861; Acc 0,777 (38 fitur); 12 fitur AUC 0,840</t>
        </is>
      </c>
      <c r="W11" s="4" t="inlineStr">
        <is>
          <t>SHAP: tekanan sistolik, kreatinin, lama rawat, thrombin time, usia</t>
        </is>
      </c>
      <c r="X11" s="4" t="inlineStr">
        <is>
          <t>Indikator penting dengan missing tinggi dibuang (durasi DM, protein urin 24 jam); cross-sectional. Catatan reviewer: lama rawat inap berisiko bocor informasi (leakage).</t>
        </is>
      </c>
      <c r="Y11" s="4" t="inlineStr">
        <is>
          <t>CatBoost efektif untuk diagnosis bantu DKD dini; perlu validasi prospektif.</t>
        </is>
      </c>
      <c r="Z11" s="4" t="inlineStr">
        <is>
          <t>Tinggi: contoh MICE + LASSO + SHAP pada data EHR multisenter.</t>
        </is>
      </c>
      <c r="AA11" s="4" t="inlineStr">
        <is>
          <t>Full text</t>
        </is>
      </c>
    </row>
    <row r="12">
      <c r="A12" s="5" t="n">
        <v>8</v>
      </c>
      <c r="B12" s="5" t="inlineStr">
        <is>
          <t>Ginjal (DKD)</t>
        </is>
      </c>
      <c r="C12" s="5" t="inlineStr">
        <is>
          <t>Sabanayagam C, He F, Nusinovici S, Li J, Lim C, Tan G, Cheng CY</t>
        </is>
      </c>
      <c r="D12" s="5" t="n">
        <v>2023</v>
      </c>
      <c r="E12" s="5" t="inlineStr">
        <is>
          <t>Prediction of diabetic kidney disease risk using machine learning models: a population-based cohort study of Asian adults</t>
        </is>
      </c>
      <c r="F12" s="5" t="inlineStr">
        <is>
          <t>eLife, 12:e81878</t>
        </is>
      </c>
      <c r="G12" s="5" t="inlineStr">
        <is>
          <t>10.7554/eLife.81878</t>
        </is>
      </c>
      <c r="H12" s="5" t="inlineStr">
        <is>
          <t>CC BY 4.0</t>
        </is>
      </c>
      <c r="I12" s="5" t="inlineStr">
        <is>
          <t>papers/08_Sabanayagam2023.pdf</t>
        </is>
      </c>
      <c r="J12" s="5" t="inlineStr">
        <is>
          <t>Membandingkan model ML dan LR untuk prediksi insiden DKD 6 tahun dan mengidentifikasi prediktor kunci.</t>
        </is>
      </c>
      <c r="K12" s="5" t="inlineStr">
        <is>
          <t>Sedikit studi ML untuk insiden DKD; regresi konvensional mudah overfit pada banyak variabel; butuh biomarker baru.</t>
        </is>
      </c>
      <c r="L12" s="5" t="inlineStr">
        <is>
          <t>ML + seleksi fitur mengungguli LR 7 faktor standar; metabolit sebagai calon faktor risiko baru.</t>
        </is>
      </c>
      <c r="M12" s="5" t="inlineStr">
        <is>
          <t>Insiden DKD dalam 6 tahun</t>
        </is>
      </c>
      <c r="N12" s="5" t="inlineStr">
        <is>
          <t>Singapore Epidemiology of Eye Diseases (SEED), kohort populasi, Singapura, baseline 2004-2011</t>
        </is>
      </c>
      <c r="O12" s="5" t="inlineStr">
        <is>
          <t>1.365 (162 DKD = 11,9%); 339 fitur dalam 6 set fitur</t>
        </is>
      </c>
      <c r="P12" s="5" t="inlineStr">
        <is>
          <t>Peserta missing &gt;10% dikeluarkan; imputasi mean/modus</t>
        </is>
      </c>
      <c r="Q12" s="5" t="inlineStr">
        <is>
          <t>Stratified sampling saja</t>
        </is>
      </c>
      <c r="R12" s="5" t="inlineStr">
        <is>
          <t>RFE berbasis Elastic Net + importance RF/GBDT/XGB; akhir 15 fitur</t>
        </is>
      </c>
      <c r="S12" s="5" t="inlineStr">
        <is>
          <t>LR, LASSO, EN, CART, RF, GBDT, XGBoost, SVM, NB</t>
        </is>
      </c>
      <c r="T12" s="5" t="inlineStr">
        <is>
          <t>Stratified split 80/20 + 40 kali ulang 5-fold CV</t>
        </is>
      </c>
      <c r="U12" s="5" t="inlineStr">
        <is>
          <t>AUC (95% CI), Sensitivity, Specificity</t>
        </is>
      </c>
      <c r="V12" s="5" t="inlineStr">
        <is>
          <t>Elastic Net 15 fitur: AUC 0,851 vs LR 7 fitur 0,795 (naik relatif 7%); LASSO 0,820; GBDT 0,819</t>
        </is>
      </c>
      <c r="W12" s="5" t="inlineStr">
        <is>
          <t>Usia, SBP, retinopati, eGFR rendah, HbA1c, metabolit lipid</t>
        </is>
      </c>
      <c r="X12" s="5" t="inlineStr">
        <is>
          <t>DKD dari satu kali pengukuran kreatinin; albuminuria dibuang karena missing; tanpa validasi eksternal.</t>
        </is>
      </c>
      <c r="Y12" s="5" t="inlineStr">
        <is>
          <t>Elastic Net dengan metabolit terpilih mengungguli model klinis standar.</t>
        </is>
      </c>
      <c r="Z12" s="5" t="inlineStr">
        <is>
          <t>Sedang: metodologi validasi kuat (CV berulang), tapi fitur metabolit tidak tersedia di Zenodo.</t>
        </is>
      </c>
      <c r="AA12" s="5" t="inlineStr">
        <is>
          <t>Full text</t>
        </is>
      </c>
    </row>
    <row r="13">
      <c r="A13" s="4" t="n">
        <v>9</v>
      </c>
      <c r="B13" s="4" t="inlineStr">
        <is>
          <t>Ginjal (DKD)</t>
        </is>
      </c>
      <c r="C13" s="4" t="inlineStr">
        <is>
          <t>Cai SS, Zheng TY, Wang KY, Zhu HP</t>
        </is>
      </c>
      <c r="D13" s="4" t="n">
        <v>2024</v>
      </c>
      <c r="E13" s="4" t="inlineStr">
        <is>
          <t>Clinical study of different prediction models in predicting diabetic nephropathy in patients with type 2 diabetes mellitus</t>
        </is>
      </c>
      <c r="F13" s="4" t="inlineStr">
        <is>
          <t>World Journal of Diabetes, 15(1):43-52</t>
        </is>
      </c>
      <c r="G13" s="4" t="inlineStr">
        <is>
          <t>10.4239/wjd.v15.i1.43</t>
        </is>
      </c>
      <c r="H13" s="4" t="inlineStr">
        <is>
          <t>CC BY-NC 4.0</t>
        </is>
      </c>
      <c r="I13" s="4" t="inlineStr">
        <is>
          <t>papers/09_Cai2024.pdf</t>
        </is>
      </c>
      <c r="J13" s="4" t="inlineStr">
        <is>
          <t>Mengidentifikasi faktor DN pada T2DM dan membandingkan nomogram, decision tree, dan random forest.</t>
        </is>
      </c>
      <c r="K13" s="4" t="inlineStr">
        <is>
          <t>Sedikit studi yang membandingkan ketiga model untuk DN.</t>
        </is>
      </c>
      <c r="L13" s="4" t="inlineStr">
        <is>
          <t>5 prediktor independen; perbandingan 3 model.</t>
        </is>
      </c>
      <c r="M13" s="4" t="inlineStr">
        <is>
          <t>Nefropati diabetik (DN)</t>
        </is>
      </c>
      <c r="N13" s="4" t="inlineStr">
        <is>
          <t>First People's Hospital of Wenling, Tiongkok, Agu 2019 - Agu 2022</t>
        </is>
      </c>
      <c r="O13" s="4" t="inlineStr">
        <is>
          <t>210 (74 DN / 136 non-DN); train 147 / test 63</t>
        </is>
      </c>
      <c r="P13" s="4" t="inlineStr">
        <is>
          <t>Hanya data lengkap; tidak ada detail lain</t>
        </is>
      </c>
      <c r="Q13" s="4" t="inlineStr">
        <is>
          <t>Tidak ada</t>
        </is>
      </c>
      <c r="R13" s="4" t="inlineStr">
        <is>
          <t>Uji univariat lalu LR multivariat: durasi DM, gula puasa, kreatinin, HbA1c, retinopati</t>
        </is>
      </c>
      <c r="S13" s="4" t="inlineStr">
        <is>
          <t>Nomogram (LR), Decision Tree (rpart), Random Forest</t>
        </is>
      </c>
      <c r="T13" s="4" t="inlineStr">
        <is>
          <t>Split acak 7:3; uji DeLong</t>
        </is>
      </c>
      <c r="U13" s="4" t="inlineStr">
        <is>
          <t>Accuracy, Sensitivity, Specificity, Precision, AUC</t>
        </is>
      </c>
      <c r="V13" s="4" t="inlineStr">
        <is>
          <t>RF AUC 0,850 (Acc 0,730); nomogram AUC 0,811 (Acc 0,746); DT AUC 0,735</t>
        </is>
      </c>
      <c r="W13" s="4" t="inlineStr">
        <is>
          <t>Nomogram, aturan pohon, importance RF</t>
        </is>
      </c>
      <c r="X13" s="4" t="inlineStr">
        <is>
          <t>Retrospektif, satu RS, sampel kecil; keunggulan RF atas nomogram tidak signifikan.</t>
        </is>
      </c>
      <c r="Y13" s="4" t="inlineStr">
        <is>
          <t>RF menunjukkan prediksi dan stabilitas yang baik untuk DN.</t>
        </is>
      </c>
      <c r="Z13" s="4" t="inlineStr">
        <is>
          <t>Sedang: baseline sederhana LR vs pohon.</t>
        </is>
      </c>
      <c r="AA13" s="4" t="inlineStr">
        <is>
          <t>Full text</t>
        </is>
      </c>
    </row>
    <row r="14">
      <c r="A14" s="5" t="n">
        <v>10</v>
      </c>
      <c r="B14" s="5" t="inlineStr">
        <is>
          <t>Ginjal (DKD)</t>
        </is>
      </c>
      <c r="C14" s="5" t="inlineStr">
        <is>
          <t>Li T, Chen J, Zhang X, Wang K, Zhao X, Cao Y, Xu Z, Wang S, Su P, He X, Yang Y, Cao X, Liang X, Ma D</t>
        </is>
      </c>
      <c r="D14" s="5" t="n">
        <v>2025</v>
      </c>
      <c r="E14" s="5" t="inlineStr">
        <is>
          <t>A machine learning model for predicting the risk of diabetic nephropathy in individuals with type 2 diabetes mellitus</t>
        </is>
      </c>
      <c r="F14" s="5" t="inlineStr">
        <is>
          <t>Frontiers in Endocrinology, 16:1587932</t>
        </is>
      </c>
      <c r="G14" s="5" t="inlineStr">
        <is>
          <t>10.3389/fendo.2025.1587932</t>
        </is>
      </c>
      <c r="H14" s="5" t="inlineStr">
        <is>
          <t>CC BY</t>
        </is>
      </c>
      <c r="I14" s="5" t="inlineStr">
        <is>
          <t>papers/10_Li2025.pdf</t>
        </is>
      </c>
      <c r="J14" s="5" t="inlineStr">
        <is>
          <t>Mengembangkan dan memvalidasi model ML risiko DKD, membandingkan 8 algoritma, dan membuat kalkulator online.</t>
        </is>
      </c>
      <c r="K14" s="5" t="inlineStr">
        <is>
          <t>Analisis komparatif banyak model ML untuk DKD pada T2DM belum dieksplorasi.</t>
        </is>
      </c>
      <c r="L14" s="5" t="inlineStr">
        <is>
          <t>Perbandingan 8 model; XGBoost terbaik; kalkulator web; SHAP dan DCA.</t>
        </is>
      </c>
      <c r="M14" s="5" t="inlineStr">
        <is>
          <t>Risiko DKD pada T2DM</t>
        </is>
      </c>
      <c r="N14" s="5" t="inlineStr">
        <is>
          <t>Shijiazhuang Second Hospital, Tiongkok, Des 2017 - Des 2023</t>
        </is>
      </c>
      <c r="O14" s="5" t="inlineStr">
        <is>
          <t>10.057 (5.162 DKD / 4.895 non-DKD); 47 kandidat fitur</t>
        </is>
      </c>
      <c r="P14" s="5" t="inlineStr">
        <is>
          <t>Tidak dilaporkan</t>
        </is>
      </c>
      <c r="Q14" s="5" t="inlineStr">
        <is>
          <t>Tidak perlu (hampir seimbang)</t>
        </is>
      </c>
      <c r="R14" s="5" t="inlineStr">
        <is>
          <t>LASSO 10-fold CV, 15 fitur</t>
        </is>
      </c>
      <c r="S14" s="5" t="inlineStr">
        <is>
          <t>LR, RF, SVM, GNB, KNN, GBM, AdaBoost, XGBoost (tuning tidak dilaporkan)</t>
        </is>
      </c>
      <c r="T14" s="5" t="inlineStr">
        <is>
          <t>15% hold-out acak + split 7:3 + 10-fold CV</t>
        </is>
      </c>
      <c r="U14" s="5" t="inlineStr">
        <is>
          <t>AUC, Accuracy, F1, Sensitivity, Specificity, Brier (XGBoost saja), DCA</t>
        </is>
      </c>
      <c r="V14" s="5" t="inlineStr">
        <is>
          <t>XGBoost AUC 0,932 (train) / 0,930 (validasi); RF 0,817; LR 0,675</t>
        </is>
      </c>
      <c r="W14" s="5" t="inlineStr">
        <is>
          <t>SHAP: mikroalbuminuria, retinopati, hipertensi, kreatinin, asam urat</t>
        </is>
      </c>
      <c r="X14" s="5" t="inlineStr">
        <is>
          <t>Tanpa data obat; data RS saja. Catatan reviewer: preprocessing tidak dilaporkan, 'validasi eksternal' berasal dari RS yang sama, dan CI AUC eksternal tidak cocok dengan nilainya.</t>
        </is>
      </c>
      <c r="Y14" s="5" t="inlineStr">
        <is>
          <t>XGBoost paling akurat dan kalkulatornya praktis.</t>
        </is>
      </c>
      <c r="Z14" s="5" t="inlineStr">
        <is>
          <t>Sedang: sampel besar, tapi pelaporan lemah sehingga cocok sebagai bahan kritik.</t>
        </is>
      </c>
      <c r="AA14" s="5" t="inlineStr">
        <is>
          <t>Full text</t>
        </is>
      </c>
    </row>
    <row r="15">
      <c r="A15" s="4" t="n">
        <v>11</v>
      </c>
      <c r="B15" s="4" t="inlineStr">
        <is>
          <t>Ginjal (DKD)</t>
        </is>
      </c>
      <c r="C15" s="4" t="inlineStr">
        <is>
          <t>Lin X, Liu C, Wang H, Fan X, Li L, Xu J, Li C, Wang Y, Cai X, Peng X</t>
        </is>
      </c>
      <c r="D15" s="4" t="n">
        <v>2025</v>
      </c>
      <c r="E15" s="4" t="inlineStr">
        <is>
          <t>A SuperLearner approach for predicting diabetic kidney disease upon the initial diagnosis of T2DM in hospital</t>
        </is>
      </c>
      <c r="F15" s="4" t="inlineStr">
        <is>
          <t>BMC Medical Informatics and Decision Making, 25:148</t>
        </is>
      </c>
      <c r="G15" s="4" t="inlineStr">
        <is>
          <t>10.1186/s12911-025-02977-x</t>
        </is>
      </c>
      <c r="H15" s="4" t="inlineStr">
        <is>
          <t>CC BY 4.0</t>
        </is>
      </c>
      <c r="I15" s="4" t="inlineStr">
        <is>
          <t>papers/11_Lin2025.pdf</t>
        </is>
      </c>
      <c r="J15" s="4" t="inlineStr">
        <is>
          <t>Memprediksi DKD pada pasien yang baru didiagnosis T2DM dari data dunia nyata.</t>
        </is>
      </c>
      <c r="K15" s="4" t="inlineStr">
        <is>
          <t>Studi lama mengecualikan pasien tanpa eGFR awal (bias seleksi); belum ada model gabungan via SuperLearner; penanganan missing sering tidak dilaporkan.</t>
        </is>
      </c>
      <c r="L15" s="4" t="inlineStr">
        <is>
          <t>Perbandingan model linear, non-linear, dan SuperLearner; SHAP tingkat pasien; calon penanda baru (leukosit, pH urin).</t>
        </is>
      </c>
      <c r="M15" s="4" t="inlineStr">
        <is>
          <t>Kejadian DKD sejak diagnosis awal T2DM</t>
        </is>
      </c>
      <c r="N15" s="4" t="inlineStr">
        <is>
          <t>Ningbo Municipal Hospital of TCM, Tiongkok, 2011-2023</t>
        </is>
      </c>
      <c r="O15" s="4" t="inlineStr">
        <is>
          <t>3.291 (563 DKD = 17,1%); 74 menjadi 46 prediktor</t>
        </is>
      </c>
      <c r="P15" s="4" t="inlineStr">
        <is>
          <t>Variabel missing &gt;70% dibuang; pasien missing &gt;30% dikeluarkan; MICE; outlier dibuang berdasarkan pertimbangan klinis</t>
        </is>
      </c>
      <c r="Q15" s="4" t="inlineStr">
        <is>
          <t>Tidak ada</t>
        </is>
      </c>
      <c r="R15" s="4" t="inlineStr">
        <is>
          <t>Tidak ada seleksi eksplisit (46 variabel)</t>
        </is>
      </c>
      <c r="S15" s="4" t="inlineStr">
        <is>
          <t>MLR, LASSO, RF, XGBoost, SuperLearner; tuning via CV</t>
        </is>
      </c>
      <c r="T15" s="4" t="inlineStr">
        <is>
          <t>Split 70/30 (2.303 / 988)</t>
        </is>
      </c>
      <c r="U15" s="4" t="inlineStr">
        <is>
          <t>AUC, Sensitivity, Specificity, PPV, NPV, likelihood ratio</t>
        </is>
      </c>
      <c r="V15" s="4" t="inlineStr">
        <is>
          <t>SuperLearner: AUC train 0,938, holdout 0,714; Sens 73,4%; Spec 59,1%</t>
        </is>
      </c>
      <c r="W15" s="4" t="inlineStr">
        <is>
          <t>SHAP: leukosit, neutrofil, hematokrit, hemoglobin, usia, HbA1c</t>
        </is>
      </c>
      <c r="X15" s="4" t="inlineStr">
        <is>
          <t>Satu RS, tidak ada data retinopati, follow-up pendek. Catatan reviewer: selisih AUC train dan holdout besar (overfitting).</t>
        </is>
      </c>
      <c r="Y15" s="4" t="inlineStr">
        <is>
          <t>SuperLearner yang dijelaskan dengan SHAP bisa membantu deteksi dini DKD.</t>
        </is>
      </c>
      <c r="Z15" s="4" t="inlineStr">
        <is>
          <t>Tinggi: contoh pelaporan missing yang rapi (ambang 70%/30% + MICE) dan performa realistis.</t>
        </is>
      </c>
      <c r="AA15" s="4" t="inlineStr">
        <is>
          <t>Full text</t>
        </is>
      </c>
    </row>
    <row r="16">
      <c r="A16" s="5" t="n">
        <v>12</v>
      </c>
      <c r="B16" s="5" t="inlineStr">
        <is>
          <t>Ginjal (DKD)</t>
        </is>
      </c>
      <c r="C16" s="5" t="inlineStr">
        <is>
          <t>Luo J, Chen G, Yang J</t>
        </is>
      </c>
      <c r="D16" s="5" t="n">
        <v>2026</v>
      </c>
      <c r="E16" s="5" t="inlineStr">
        <is>
          <t>Development and internal validation of a machine-learning-based risk identification model for diabetic kidney disease in patients with type 2 diabetes</t>
        </is>
      </c>
      <c r="F16" s="5" t="inlineStr">
        <is>
          <t>Frontiers in Endocrinology, 17:1888060</t>
        </is>
      </c>
      <c r="G16" s="5" t="inlineStr">
        <is>
          <t>10.3389/fendo.2026.1888060</t>
        </is>
      </c>
      <c r="H16" s="5" t="inlineStr">
        <is>
          <t>CC BY</t>
        </is>
      </c>
      <c r="I16" s="5" t="inlineStr">
        <is>
          <t>papers/12_Luo2026.pdf</t>
        </is>
      </c>
      <c r="J16" s="5" t="inlineStr">
        <is>
          <t>Membangun model non-invasif identifikasi risiko DKD dari indikator lab rutin.</t>
        </is>
      </c>
      <c r="K16" s="5" t="inlineStr">
        <is>
          <t>Kesadaran DKD rendah dan alat skrining dini kurang.</t>
        </is>
      </c>
      <c r="L16" s="5" t="inlineStr">
        <is>
          <t>Model LR terinterpretasi dengan DCA, kalibrasi, dan SHAP dari lab rutin.</t>
        </is>
      </c>
      <c r="M16" s="5" t="inlineStr">
        <is>
          <t>Klasifikasi DKD vs T2DM tanpa DKD</t>
        </is>
      </c>
      <c r="N16" s="5" t="inlineStr">
        <is>
          <t>Sihui People's Hospital, Guangdong, Tiongkok, Jan 2023 - Jun 2024</t>
        </is>
      </c>
      <c r="O16" s="5" t="inlineStr">
        <is>
          <t>602 (457 T2DM / 145 DKD) dari 820 rekam medis; 19 indikator lab</t>
        </is>
      </c>
      <c r="P16" s="5" t="inlineStr">
        <is>
          <t>Missing &lt;5%: modus (kategorikal), mean (kontinu normal), KNN (numerik lain)</t>
        </is>
      </c>
      <c r="Q16" s="5" t="inlineStr">
        <is>
          <t>Tidak ada (rasio sekitar 3:1)</t>
        </is>
      </c>
      <c r="R16" s="5" t="inlineStr">
        <is>
          <t>LR univariat lalu multivariat: HbA1c, beta2-MG, protein urin, albumin, eGFR; VIF&lt;5</t>
        </is>
      </c>
      <c r="S16" s="5" t="inlineStr">
        <is>
          <t>LR, XGBoost, RF, AdaBoost, SVC, GNB</t>
        </is>
      </c>
      <c r="T16" s="5" t="inlineStr">
        <is>
          <t>Split 8:2 + 5-fold CV</t>
        </is>
      </c>
      <c r="U16" s="5" t="inlineStr">
        <is>
          <t>AUC, Accuracy, Sens, Spec, PPV, NPV, F1, Kappa, Brier, kalibrasi, DCA</t>
        </is>
      </c>
      <c r="V16" s="5" t="inlineStr">
        <is>
          <t>LR: AUC test 0,979; Sens 89,7%; Spec 92,4%</t>
        </is>
      </c>
      <c r="W16" s="5" t="inlineStr">
        <is>
          <t>SHAP: HbA1c, albumin, protein urin, eGFR, beta2-MG</t>
        </is>
      </c>
      <c r="X16" s="5" t="inlineStr">
        <is>
          <t>Satu RS, cross-sectional, tanpa durasi DM dan obat. Catatan reviewer: AUC sangat tinggi karena prediktor (protein urin, eGFR) bagian dari definisi DKD; RF AUC train 1,000.</t>
        </is>
      </c>
      <c r="Y16" s="5" t="inlineStr">
        <is>
          <t>LR dengan indikator rutin andal untuk stratifikasi risiko DKD.</t>
        </is>
      </c>
      <c r="Z16" s="5" t="inlineStr">
        <is>
          <t>Sangat tinggi: panel lab hampir sama dengan Zenodo; langkah imputasi eksplisit.</t>
        </is>
      </c>
      <c r="AA16" s="5" t="inlineStr">
        <is>
          <t>Full text</t>
        </is>
      </c>
    </row>
    <row r="17">
      <c r="A17" s="4" t="n">
        <v>13</v>
      </c>
      <c r="B17" s="4" t="inlineStr">
        <is>
          <t>Neuropati (DPN)</t>
        </is>
      </c>
      <c r="C17" s="4" t="inlineStr">
        <is>
          <t>Sun M, Sun X, Wang F, Liu L</t>
        </is>
      </c>
      <c r="D17" s="4" t="n">
        <v>2025</v>
      </c>
      <c r="E17" s="4" t="inlineStr">
        <is>
          <t>Machine learning-based prediction of diabetic peripheral neuropathy: model development and clinical validation</t>
        </is>
      </c>
      <c r="F17" s="4" t="inlineStr">
        <is>
          <t>Frontiers in Endocrinology, 16:1614657</t>
        </is>
      </c>
      <c r="G17" s="4" t="inlineStr">
        <is>
          <t>10.3389/fendo.2025.1614657</t>
        </is>
      </c>
      <c r="H17" s="4" t="inlineStr">
        <is>
          <t>CC BY</t>
        </is>
      </c>
      <c r="I17" s="4" t="inlineStr">
        <is>
          <t>papers/13_Sun2025.pdf</t>
        </is>
      </c>
      <c r="J17" s="4" t="inlineStr">
        <is>
          <t>Membangun model ML prediksi risiko DPN dari data demografis, klinis, dan biokimia.</t>
        </is>
      </c>
      <c r="K17" s="4" t="inlineStr">
        <is>
          <t>Model DPN sebelumnya sering memakai satu algoritma, tanpa SHAP, dan jarang menjadi alat yang bisa dipakai.</t>
        </is>
      </c>
      <c r="L17" s="4" t="inlineStr">
        <is>
          <t>Seleksi fitur Boruta + LASSO; 9 algoritma; SHAP; kalkulator web Shiny.</t>
        </is>
      </c>
      <c r="M17" s="4" t="inlineStr">
        <is>
          <t>Risiko DPN</t>
        </is>
      </c>
      <c r="N17" s="4" t="inlineStr">
        <is>
          <t>First Affiliated Hospital of Shandong First Medical University, Tiongkok, 2023-2024</t>
        </is>
      </c>
      <c r="O17" s="4" t="inlineStr">
        <is>
          <t>1.544 (529 DPN = 34,3%); 23 kandidat variabel</t>
        </is>
      </c>
      <c r="P17" s="4" t="inlineStr">
        <is>
          <t>Multiple imputation (mice, 5 imputasi, PMM); semua variabel missing &lt;30%</t>
        </is>
      </c>
      <c r="Q17" s="4" t="inlineStr">
        <is>
          <t>Tidak ada (sengaja, untuk menjaga distribusi nyata)</t>
        </is>
      </c>
      <c r="R17" s="4" t="inlineStr">
        <is>
          <t>Irisan Boruta dan LASSO, 8 fitur</t>
        </is>
      </c>
      <c r="S17" s="4" t="inlineStr">
        <is>
          <t>LR, DT, RF, KNN, SVM, NB, XGB, SGBT, NNET; grid search</t>
        </is>
      </c>
      <c r="T17" s="4" t="inlineStr">
        <is>
          <t>Split 70/30 + 10x10-fold CV di training</t>
        </is>
      </c>
      <c r="U17" s="4" t="inlineStr">
        <is>
          <t>Accuracy, Sens, Spec, PPV, NPV, F1, Kappa, AUC, DCA</t>
        </is>
      </c>
      <c r="V17" s="4" t="inlineStr">
        <is>
          <t>SGBT AUC test 0,811 (train 0,933); XGB 0,810; LR 0,757</t>
        </is>
      </c>
      <c r="W17" s="4" t="inlineStr">
        <is>
          <t>SHAP: durasi DM, HbA1c, kreatinin, hipertensi, asam urat</t>
        </is>
      </c>
      <c r="X17" s="4" t="inlineStr">
        <is>
          <t>Retrospektif, satu RS perkotaan, tanpa gaya hidup/obat; ada gejala overfitting.</t>
        </is>
      </c>
      <c r="Y17" s="4" t="inlineStr">
        <is>
          <t>Alat prediksi DPN yang andal; perlu validasi multisenter.</t>
        </is>
      </c>
      <c r="Z17" s="4" t="inlineStr">
        <is>
          <t>Tinggi: kombinasi MICE + Boruta/LASSO + banyak model + SHAP.</t>
        </is>
      </c>
      <c r="AA17" s="4" t="inlineStr">
        <is>
          <t>Full text</t>
        </is>
      </c>
    </row>
    <row r="18">
      <c r="A18" s="5" t="n">
        <v>14</v>
      </c>
      <c r="B18" s="5" t="inlineStr">
        <is>
          <t>Neuropati (DPN)</t>
        </is>
      </c>
      <c r="C18" s="5" t="inlineStr">
        <is>
          <t>Wang L, Li J, Lin Y, Yuan H, Fang Z, Fei A, Shen G, Jiang A</t>
        </is>
      </c>
      <c r="D18" s="5" t="n">
        <v>2024</v>
      </c>
      <c r="E18" s="5" t="inlineStr">
        <is>
          <t>Establishment and external validation of an early warning model of diabetic peripheral neuropathy based on random forest and logistic regression</t>
        </is>
      </c>
      <c r="F18" s="5" t="inlineStr">
        <is>
          <t>BMC Endocrine Disorders, 24:196</t>
        </is>
      </c>
      <c r="G18" s="5" t="inlineStr">
        <is>
          <t>10.1186/s12902-024-01728-9</t>
        </is>
      </c>
      <c r="H18" s="5" t="inlineStr">
        <is>
          <t>CC BY-NC-ND 4.0</t>
        </is>
      </c>
      <c r="I18" s="5" t="inlineStr">
        <is>
          <t>papers/14_Wang2024.pdf</t>
        </is>
      </c>
      <c r="J18" s="5" t="inlineStr">
        <is>
          <t>Mengidentifikasi faktor risiko DPN dan membangun model diagnosis dini.</t>
        </is>
      </c>
      <c r="K18" s="5" t="inlineStr">
        <is>
          <t>DPN sering tanpa gejala di awal; tes sensorik bergantung respons subjektif.</t>
        </is>
      </c>
      <c r="L18" s="5" t="inlineStr">
        <is>
          <t>Nomogram LR 9 prediktor; perbandingan dengan RF; validasi eksternal di RS kedua.</t>
        </is>
      </c>
      <c r="M18" s="5" t="inlineStr">
        <is>
          <t>DPN</t>
        </is>
      </c>
      <c r="N18" s="5" t="inlineStr">
        <is>
          <t>2 RS di Anhui, Tiongkok, Jan 2018 - Jun 2022</t>
        </is>
      </c>
      <c r="O18" s="5" t="inlineStr">
        <is>
          <t>1.806 (training 1.012, validasi internal 434, eksternal 360)</t>
        </is>
      </c>
      <c r="P18" s="5" t="inlineStr">
        <is>
          <t>Pasien dengan data baseline hilang dikeluarkan; entri ganda oleh dua peneliti</t>
        </is>
      </c>
      <c r="Q18" s="5" t="inlineStr">
        <is>
          <t>Tidak ada</t>
        </is>
      </c>
      <c r="R18" s="5" t="inlineStr">
        <is>
          <t>Univariat lalu eliminasi mundur LR: kebas, nyeri tungkai, DR, DKD, protein urin, DBP, leukosit, HbA1c, HDL</t>
        </is>
      </c>
      <c r="S18" s="5" t="inlineStr">
        <is>
          <t>LR (nomogram), RF (grid search + CV)</t>
        </is>
      </c>
      <c r="T18" s="5" t="inlineStr">
        <is>
          <t>Split 7:3 + validasi eksternal RS kedua + 10-fold CV</t>
        </is>
      </c>
      <c r="U18" s="5" t="inlineStr">
        <is>
          <t>AUC, kalibrasi, Hosmer-Lemeshow, Brier, DCA</t>
        </is>
      </c>
      <c r="V18" s="5" t="inlineStr">
        <is>
          <t>LR AUC eksternal 0,88; RF 0,88 (train 0,95). LR lebih terkalibrasi</t>
        </is>
      </c>
      <c r="W18" s="5" t="inlineStr">
        <is>
          <t>SHAP + nomogram: kebas tungkai, nyeri tungkai</t>
        </is>
      </c>
      <c r="X18" s="5" t="inlineStr">
        <is>
          <t>Retrospektif, tanpa analisis sensitivitas dan data obat. Catatan reviewer: label tabel tertukar; gejala klinis dominan sebagai prediktor.</t>
        </is>
      </c>
      <c r="Y18" s="5" t="inlineStr">
        <is>
          <t>Nomogram bisa membantu diagnosis DPN; LR dipilih karena generalisasi lebih baik.</t>
        </is>
      </c>
      <c r="Z18" s="5" t="inlineStr">
        <is>
          <t>Sedang: salah satu dari sedikit studi dengan validasi eksternal.</t>
        </is>
      </c>
      <c r="AA18" s="5" t="inlineStr">
        <is>
          <t>Full text</t>
        </is>
      </c>
    </row>
    <row r="19">
      <c r="A19" s="4" t="n">
        <v>15</v>
      </c>
      <c r="B19" s="4" t="inlineStr">
        <is>
          <t>Vaskular (PVD)</t>
        </is>
      </c>
      <c r="C19" s="4" t="inlineStr">
        <is>
          <t>Liu L, Bi B, Cao L, Gui M, Ju F</t>
        </is>
      </c>
      <c r="D19" s="4" t="n">
        <v>2024</v>
      </c>
      <c r="E19" s="4" t="inlineStr">
        <is>
          <t>Predictive model and risk analysis for peripheral vascular disease in type 2 diabetes mellitus patients using machine learning and shapley additive explanation</t>
        </is>
      </c>
      <c r="F19" s="4" t="inlineStr">
        <is>
          <t>Frontiers in Endocrinology, 15:1320335</t>
        </is>
      </c>
      <c r="G19" s="4" t="inlineStr">
        <is>
          <t>10.3389/fendo.2024.1320335</t>
        </is>
      </c>
      <c r="H19" s="4" t="inlineStr">
        <is>
          <t>CC BY</t>
        </is>
      </c>
      <c r="I19" s="4" t="inlineStr">
        <is>
          <t>papers/15_Liu2024.pdf</t>
        </is>
      </c>
      <c r="J19" s="4" t="inlineStr">
        <is>
          <t>Membangun model ML risiko PVD pada T2DM dari EHR dan menganalisis faktornya dengan SHAP.</t>
        </is>
      </c>
      <c r="K19" s="4" t="inlineStr">
        <is>
          <t>Belum ada model ML khusus untuk PVD pada T2DM.</t>
        </is>
      </c>
      <c r="L19" s="4" t="inlineStr">
        <is>
          <t>Pertama memakai beberapa algoritma ML untuk PVD pada T2DM; RFE + SMOTE; SHAP global dan individual.</t>
        </is>
      </c>
      <c r="M19" s="4" t="inlineStr">
        <is>
          <t>PVD pada T2DM</t>
        </is>
      </c>
      <c r="N19" s="4" t="inlineStr">
        <is>
          <t>EHR Second Affiliated Hospital of Hainan Medical University, Tiongkok, Jan 2021 - Mar 2023</t>
        </is>
      </c>
      <c r="O19" s="4" t="inlineStr">
        <is>
          <t>3.982 dianalisis (3.065 PVD / 917 non-PVD); 53 variabel masuk RFE</t>
        </is>
      </c>
      <c r="P19" s="4" t="inlineStr">
        <is>
          <t>Indikator missing &gt;25% dibuang; sampel missing &gt;30% dikeluarkan; imputasi median dan MissForest; normalisasi</t>
        </is>
      </c>
      <c r="Q19" s="4" t="inlineStr">
        <is>
          <t>SMOTE hanya pada data training</t>
        </is>
      </c>
      <c r="R19" s="4" t="inlineStr">
        <is>
          <t>RFE berbasis RF, 12 prediktor</t>
        </is>
      </c>
      <c r="S19" s="4" t="inlineStr">
        <is>
          <t>DT, LR, RF, SVM, XGBoost, AdaBoost; grid search 10-fold CV</t>
        </is>
      </c>
      <c r="T19" s="4" t="inlineStr">
        <is>
          <t>Split 8:2 + 10-fold CV</t>
        </is>
      </c>
      <c r="U19" s="4" t="inlineStr">
        <is>
          <t>Accuracy, Precision, Recall, F1, G-mean, AUC</t>
        </is>
      </c>
      <c r="V19" s="4" t="inlineStr">
        <is>
          <t>XGBoost AUC 0,945; Acc 0,890; AdaBoost 0,938; RF 0,935; LR 0,711</t>
        </is>
      </c>
      <c r="W19" s="4" t="inlineStr">
        <is>
          <t>SHAP: hemoglobin, usia, asam empedu total, lipoprotein(a)</t>
        </is>
      </c>
      <c r="X19" s="4" t="inlineStr">
        <is>
          <t>Satu RS, validasi internal; imputasi dan seleksi fitur dilakukan sebelum split (diakui penulis).</t>
        </is>
      </c>
      <c r="Y19" s="4" t="inlineStr">
        <is>
          <t>Model ML PVD berperforma baik dan memberi gambaran faktor risiko.</t>
        </is>
      </c>
      <c r="Z19" s="4" t="inlineStr">
        <is>
          <t>Tinggi: contoh SMOTE yang benar (hanya training) dan metrik G-mean.</t>
        </is>
      </c>
      <c r="AA19" s="4" t="inlineStr">
        <is>
          <t>Full text</t>
        </is>
      </c>
    </row>
    <row r="20">
      <c r="A20" s="5" t="n">
        <v>16</v>
      </c>
      <c r="B20" s="5" t="inlineStr">
        <is>
          <t>Multi-komplikasi</t>
        </is>
      </c>
      <c r="C20" s="5" t="inlineStr">
        <is>
          <t>Wu Y, Dong D, Zhu L, Luo Z, Liu Y, Xie X</t>
        </is>
      </c>
      <c r="D20" s="5" t="n">
        <v>2024</v>
      </c>
      <c r="E20" s="5" t="inlineStr">
        <is>
          <t>Interpretable machine learning models for detecting peripheral neuropathy and lower extremity arterial disease in diabetics: an analysis of critical shared and unique risk factors</t>
        </is>
      </c>
      <c r="F20" s="5" t="inlineStr">
        <is>
          <t>BMC Medical Informatics and Decision Making, 24:200</t>
        </is>
      </c>
      <c r="G20" s="5" t="inlineStr">
        <is>
          <t>10.1186/s12911-024-02595-z</t>
        </is>
      </c>
      <c r="H20" s="5" t="inlineStr">
        <is>
          <t>CC BY 4.0</t>
        </is>
      </c>
      <c r="I20" s="5" t="inlineStr">
        <is>
          <t>papers/16_Wu2024.pdf</t>
        </is>
      </c>
      <c r="J20" s="5" t="inlineStr">
        <is>
          <t>Memprediksi DPN dan LEAD serta mengidentifikasi faktor risiko bersama dan khusus.</t>
        </is>
      </c>
      <c r="K20" s="5" t="inlineStr">
        <is>
          <t>Studi sebelumnya memodelkan satu komplikasi saja; diagnosis butuh alat khusus.</t>
        </is>
      </c>
      <c r="L20" s="5" t="inlineStr">
        <is>
          <t>Model dari data rutin; 3 metode seleksi fitur dengan voting; tuning PSO; SHAP faktor bersama.</t>
        </is>
      </c>
      <c r="M20" s="5" t="inlineStr">
        <is>
          <t>DPN dan LEAD (dua model)</t>
        </is>
      </c>
      <c r="N20" s="5" t="inlineStr">
        <is>
          <t>Tongji Hospital, Tiongkok, Jan 2022 - Mar 2023</t>
        </is>
      </c>
      <c r="O20" s="5" t="inlineStr">
        <is>
          <t>479 (DPN 44,9%; LEAD 14,4%); 38 kandidat fitur</t>
        </is>
      </c>
      <c r="P20" s="5" t="inlineStr">
        <is>
          <t>Missing &lt;30%: isi dengan pengukuran terakhir sebelumnya, sisanya median</t>
        </is>
      </c>
      <c r="Q20" s="5" t="inlineStr">
        <is>
          <t>LEAD: random undersampling ke rasio 1:3</t>
        </is>
      </c>
      <c r="R20" s="5" t="inlineStr">
        <is>
          <t>MI, RF-RFE, Boruta; fitur terpilih &gt;=2 metode (DPN 12, LEAD 9)</t>
        </is>
      </c>
      <c r="S20" s="5" t="inlineStr">
        <is>
          <t>LR, RF, XGBoost; tuning Particle Swarm Optimization</t>
        </is>
      </c>
      <c r="T20" s="5" t="inlineStr">
        <is>
          <t>Split 80/20; tanpa CV</t>
        </is>
      </c>
      <c r="U20" s="5" t="inlineStr">
        <is>
          <t>Recall, Specificity, Precision, Accuracy, F1, AUC</t>
        </is>
      </c>
      <c r="V20" s="5" t="inlineStr">
        <is>
          <t>DPN: XGBoost AUC 0,903. LEAD: RF AUC 0,923</t>
        </is>
      </c>
      <c r="W20" s="5" t="inlineStr">
        <is>
          <t>SHAP: ACR, HbA1c, kreatinin, usia, stenosis karotis sebagai faktor bersama</t>
        </is>
      </c>
      <c r="X20" s="5" t="inlineStr">
        <is>
          <t>Satu RS, sampel kecil, tanpa CV dan validasi eksternal (pengamatan reviewer).</t>
        </is>
      </c>
      <c r="Y20" s="5" t="inlineStr">
        <is>
          <t>ML dapat memprediksi DPN dan LEAD dari data rutin; faktor bersama jadi target prioritas.</t>
        </is>
      </c>
      <c r="Z20" s="5" t="inlineStr">
        <is>
          <t>Tinggi: kerangka multi-komplikasi dan voting seleksi fitur, cocok untuk data komplikasi Zenodo.</t>
        </is>
      </c>
      <c r="AA20" s="5" t="inlineStr">
        <is>
          <t>Full text</t>
        </is>
      </c>
    </row>
    <row r="21">
      <c r="A21" s="4" t="n">
        <v>17</v>
      </c>
      <c r="B21" s="4" t="inlineStr">
        <is>
          <t>Multi-komplikasi</t>
        </is>
      </c>
      <c r="C21" s="4" t="inlineStr">
        <is>
          <t>Voskergian D, Bakir-Gungor B, Yousef M</t>
        </is>
      </c>
      <c r="D21" s="4" t="n">
        <v>2025</v>
      </c>
      <c r="E21" s="4" t="inlineStr">
        <is>
          <t>Engineering novel features for diabetes complication prediction using synthetic electronic health records</t>
        </is>
      </c>
      <c r="F21" s="4" t="inlineStr">
        <is>
          <t>Frontiers in Genetics, 16:1451290</t>
        </is>
      </c>
      <c r="G21" s="4" t="inlineStr">
        <is>
          <t>10.3389/fgene.2025.1451290</t>
        </is>
      </c>
      <c r="H21" s="4" t="inlineStr">
        <is>
          <t>CC BY</t>
        </is>
      </c>
      <c r="I21" s="4" t="inlineStr">
        <is>
          <t>papers/17_Voskergian2025.pdf</t>
        </is>
      </c>
      <c r="J21" s="4" t="inlineStr">
        <is>
          <t>Memprediksi 4 komplikasi diabetes dari EHR sintetis dengan feature engineering baru.</t>
        </is>
      </c>
      <c r="K21" s="4" t="inlineStr">
        <is>
          <t>Prediksi komplikasi kurang diteliti dibanding prediksi onset; studi lama memakai sedikit fitur dan populasi kecil.</t>
        </is>
      </c>
      <c r="L21" s="4" t="inlineStr">
        <is>
          <t>Feature engineering pasangan [rentang usia, kode ICD] berbobot urutan kunjungan; perbandingan 5 model.</t>
        </is>
      </c>
      <c r="M21" s="4" t="inlineStr">
        <is>
          <t>Retinopati, CKD, penyakit jantung iskemik, amputasi</t>
        </is>
      </c>
      <c r="N21" s="4" t="inlineStr">
        <is>
          <t>sEHR CAMDA 2023, sintetis dari data Sistem Kesehatan Andalusia, Spanyol</t>
        </is>
      </c>
      <c r="O21" s="4" t="inlineStr">
        <is>
          <t>324.575 rekam setelah preprocessing</t>
        </is>
      </c>
      <c r="P21" s="4" t="inlineStr">
        <is>
          <t>JSON ke tabel; buang rekam kosong dan kunjungan sebelum diagnosis; cegah leakage; min-max scaling</t>
        </is>
      </c>
      <c r="Q21" s="4" t="inlineStr">
        <is>
          <t>Random downsampling kelas negatif</t>
        </is>
      </c>
      <c r="R21" s="4" t="inlineStr">
        <is>
          <t>Seleksi berbasis XGBoost (25-200 fitur)</t>
        </is>
      </c>
      <c r="S21" s="4" t="inlineStr">
        <is>
          <t>DT, RF, XGBoost, AdaBoost, LogitBoost</t>
        </is>
      </c>
      <c r="T21" s="4" t="inlineStr">
        <is>
          <t>Monte Carlo CV 90/10 + validasi terpartisi</t>
        </is>
      </c>
      <c r="U21" s="4" t="inlineStr">
        <is>
          <t>Accuracy, Sensitivity, Specificity, Precision, F-measure, AUC</t>
        </is>
      </c>
      <c r="V21" s="4" t="inlineStr">
        <is>
          <t>XGBoost: retinopati AUC 0,84; jantung iskemik 0,84; CKD 0,77; amputasi 0,75</t>
        </is>
      </c>
      <c r="W21" s="4" t="inlineStr">
        <is>
          <t>Ranking importance RF/XGB: hipertensi, hiperlipidemia, artrosis</t>
        </is>
      </c>
      <c r="X21" s="4" t="inlineStr">
        <is>
          <t>Data sintetis, perlu validasi eksternal; data amputasi kecil; angka prevalensi tidak konsisten.</t>
        </is>
      </c>
      <c r="Y21" s="4" t="inlineStr">
        <is>
          <t>XGBoost dan RF terbaik; feature engineering mengungguli bag-of-features.</t>
        </is>
      </c>
      <c r="Z21" s="4" t="inlineStr">
        <is>
          <t>Sedang: ide multi-target komplikasi dan pencegahan leakage.</t>
        </is>
      </c>
      <c r="AA21" s="4" t="inlineStr">
        <is>
          <t>Full text</t>
        </is>
      </c>
    </row>
    <row r="22">
      <c r="A22" s="5" t="n">
        <v>18</v>
      </c>
      <c r="B22" s="5" t="inlineStr">
        <is>
          <t>Preprocessing: missing data</t>
        </is>
      </c>
      <c r="C22" s="5" t="inlineStr">
        <is>
          <t>Jabbar Z, Washington P</t>
        </is>
      </c>
      <c r="D22" s="5" t="n">
        <v>2024</v>
      </c>
      <c r="E22" s="5" t="inlineStr">
        <is>
          <t>The Effect of Data Missingness on Machine Learning Predictions of Uncontrolled Diabetes Using All of Us Data</t>
        </is>
      </c>
      <c r="F22" s="5" t="inlineStr">
        <is>
          <t>BioMedInformatics, 4(1):780-795</t>
        </is>
      </c>
      <c r="G22" s="5" t="inlineStr">
        <is>
          <t>10.3390/biomedinformatics4010043</t>
        </is>
      </c>
      <c r="H22" s="5" t="inlineStr">
        <is>
          <t>CC BY 3.0</t>
        </is>
      </c>
      <c r="I22" s="5" t="inlineStr">
        <is>
          <t>papers/18_Jabbar2024.pdf</t>
        </is>
      </c>
      <c r="J22" s="5" t="inlineStr">
        <is>
          <t>Menguji pengaruh metode imputasi terhadap prediksi diabetes pada data EHR dengan missing tinggi.</t>
        </is>
      </c>
      <c r="K22" s="5" t="inlineStr">
        <is>
          <t>Studi sebelumnya tidak menunjukkan perubahan performa terhadap jumlah fitur yang hilang.</t>
        </is>
      </c>
      <c r="L22" s="5" t="inlineStr">
        <is>
          <t>Analisis performa dan fairness per tingkat missingness; perbandingan 6 strategi imputasi.</t>
        </is>
      </c>
      <c r="M22" s="5" t="inlineStr">
        <is>
          <t>Prediksi diabetes</t>
        </is>
      </c>
      <c r="N22" s="5" t="inlineStr">
        <is>
          <t>NIH All of Us Research Program, Amerika Serikat (diakses Jan 2024)</t>
        </is>
      </c>
      <c r="O22" s="5" t="inlineStr">
        <is>
          <t>162.453 (56.655 positif); 47 fitur; missing hingga 65% (bikarbonat)</t>
        </is>
      </c>
      <c r="P22" s="5" t="inlineStr">
        <is>
          <t>Dibandingkan: tanpa imputasi, auto-impute, konstanta, mean, median, multiple imputation (Bayesian Ridge)</t>
        </is>
      </c>
      <c r="Q22" s="5" t="inlineStr">
        <is>
          <t>Random oversampling (dibandingkan)</t>
        </is>
      </c>
      <c r="R22" s="5" t="inlineStr">
        <is>
          <t>Tidak ada</t>
        </is>
      </c>
      <c r="S22" s="5" t="inlineStr">
        <is>
          <t>Auto-sklearn 2.0</t>
        </is>
      </c>
      <c r="T22" s="5" t="inlineStr">
        <is>
          <t>Stratified split 80/20</t>
        </is>
      </c>
      <c r="U22" s="5" t="inlineStr">
        <is>
          <t>AUROC, Balanced accuracy, F1, Precision, Recall, metrik fairness, uji heteroskedastisitas</t>
        </is>
      </c>
      <c r="V22" s="5" t="inlineStr">
        <is>
          <t>Performa turun seiring bertambahnya fitur hilang; imputasi meratakan penurunan tapi variansnya membesar (heteroskedastis)</t>
        </is>
      </c>
      <c r="W22" s="5" t="inlineStr">
        <is>
          <t>Analisis per gender dan ras</t>
        </is>
      </c>
      <c r="X22" s="5" t="inlineStr">
        <is>
          <t>Performa belum siap klinis; anggaran pelatihan 3 jam; tanpa CV.</t>
        </is>
      </c>
      <c r="Y22" s="5" t="inlineStr">
        <is>
          <t>Imputasi perlu, tapi menambah noise dan ketidakmerataan performa antar pasien.</t>
        </is>
      </c>
      <c r="Z22" s="5" t="inlineStr">
        <is>
          <t>Tinggi: dasar argumen pemilihan strategi imputasi untuk data klinis Zenodo.</t>
        </is>
      </c>
      <c r="AA22" s="5" t="inlineStr">
        <is>
          <t>Full text</t>
        </is>
      </c>
    </row>
    <row r="23">
      <c r="A23" s="4" t="n">
        <v>19</v>
      </c>
      <c r="B23" s="4" t="inlineStr">
        <is>
          <t>Preprocessing: imbalance</t>
        </is>
      </c>
      <c r="C23" s="4" t="inlineStr">
        <is>
          <t>Li Y, Wang X, Hu H, Zhou X, Hu N, Liu W, Zhang Y, Mao P, Xu L, Zhu Q, Fan B, Li Y</t>
        </is>
      </c>
      <c r="D23" s="4" t="n">
        <v>2025</v>
      </c>
      <c r="E23" s="4" t="inlineStr">
        <is>
          <t>Development and validation of a risk prediction model for painful diabetic peripheral neuropathy in type 2 diabetes mellitus: a multicenter retrospective study</t>
        </is>
      </c>
      <c r="F23" s="4" t="inlineStr">
        <is>
          <t>Frontiers in Endocrinology, 16:1651493</t>
        </is>
      </c>
      <c r="G23" s="4" t="inlineStr">
        <is>
          <t>10.3389/fendo.2025.1651493</t>
        </is>
      </c>
      <c r="H23" s="4" t="inlineStr">
        <is>
          <t>CC BY</t>
        </is>
      </c>
      <c r="I23" s="4" t="inlineStr">
        <is>
          <t>papers/19_Li2025.pdf</t>
        </is>
      </c>
      <c r="J23" s="4" t="inlineStr">
        <is>
          <t>Membangun model risiko DPN nyeri (PDPN) untuk layanan primer.</t>
        </is>
      </c>
      <c r="K23" s="4" t="inlineStr">
        <is>
          <t>Model PDPN yang ada kurang tergeneralisasi ke populasi Tiongkok dan tanpa validasi eksternal.</t>
        </is>
      </c>
      <c r="L23" s="4" t="inlineStr">
        <is>
          <t>Data multisenter komunitas; regimen obat sebagai prediktor; nomogram web; SHAP.</t>
        </is>
      </c>
      <c r="M23" s="4" t="inlineStr">
        <is>
          <t>PDPN (sangat tidak seimbang, 4,08%)</t>
        </is>
      </c>
      <c r="N23" s="4" t="inlineStr">
        <is>
          <t>13 fasilitas kesehatan komunitas, Beijing, Tiongkok, Mei 2023 - Mar 2024</t>
        </is>
      </c>
      <c r="O23" s="4" t="inlineStr">
        <is>
          <t>1.984 (81 PDPN)</t>
        </is>
      </c>
      <c r="P23" s="4" t="inlineStr">
        <is>
          <t>Missing ditangani dengan eksklusi (247 dibuang)</t>
        </is>
      </c>
      <c r="Q23" s="4" t="inlineStr">
        <is>
          <t>SMOTE 200% pada kelas minoritas di data pengembangan</t>
        </is>
      </c>
      <c r="R23" s="4" t="inlineStr">
        <is>
          <t>LASSO 10-fold CV aturan 1-SE, 10 prediktor</t>
        </is>
      </c>
      <c r="S23" s="4" t="inlineStr">
        <is>
          <t>LR, RF, XGBoost, LightGBM, ANN, SVM; grid search repeated 5-fold CV</t>
        </is>
      </c>
      <c r="T23" s="4" t="inlineStr">
        <is>
          <t>Test set independen (594) + bootstrap 1.000 kali</t>
        </is>
      </c>
      <c r="U23" s="4" t="inlineStr">
        <is>
          <t>AUC-ROC, PR-AUC, Brier, G-mean, Sens, Spec, PPV, NPV, Balanced accuracy, MCC</t>
        </is>
      </c>
      <c r="V23" s="4" t="inlineStr">
        <is>
          <t>RF AUC 0,913 (PR-AUC 0,488); LR AUC 0,894 dengan sensitivitas dan balanced accuracy tertinggi (dipilih)</t>
        </is>
      </c>
      <c r="W23" s="4" t="inlineStr">
        <is>
          <t>SHAP + nomogram: gangguan muskuloskeletal, HbA1c</t>
        </is>
      </c>
      <c r="X23" s="4" t="inlineStr">
        <is>
          <t>Cross-sectional, hanya Beijing, event sedikit (81), proporsi split tidak konsisten.</t>
        </is>
      </c>
      <c r="Y23" s="4" t="inlineStr">
        <is>
          <t>LR sebagai nomogram web direkomendasikan untuk pra-skrining.</t>
        </is>
      </c>
      <c r="Z23" s="4" t="inlineStr">
        <is>
          <t>Tinggi: contoh metrik yang tepat untuk data tidak seimbang (PR-AUC, MCC, G-mean).</t>
        </is>
      </c>
      <c r="AA23" s="4" t="inlineStr">
        <is>
          <t>Full text</t>
        </is>
      </c>
    </row>
    <row r="24">
      <c r="A24" s="5" t="n">
        <v>20</v>
      </c>
      <c r="B24" s="5" t="inlineStr">
        <is>
          <t>Preprocessing: imbalance + ensemble</t>
        </is>
      </c>
      <c r="C24" s="5" t="inlineStr">
        <is>
          <t>Li W, Peng Y, Peng K</t>
        </is>
      </c>
      <c r="D24" s="5" t="n">
        <v>2024</v>
      </c>
      <c r="E24" s="5" t="inlineStr">
        <is>
          <t>Diabetes prediction model based on GA-XGBoost and stacking ensemble algorithm</t>
        </is>
      </c>
      <c r="F24" s="5" t="inlineStr">
        <is>
          <t>PLOS ONE, 19(9):e0311222</t>
        </is>
      </c>
      <c r="G24" s="5" t="inlineStr">
        <is>
          <t>10.1371/journal.pone.0311222</t>
        </is>
      </c>
      <c r="H24" s="5" t="inlineStr">
        <is>
          <t>CC BY 4.0</t>
        </is>
      </c>
      <c r="I24" s="5" t="inlineStr">
        <is>
          <t>papers/20_Li2024.pdf</t>
        </is>
      </c>
      <c r="J24" s="5" t="inlineStr">
        <is>
          <t>Membangun model prediksi diabetes dengan stacking berbasis GA-XGBoost dan menjelaskannya dengan SHAP.</t>
        </is>
      </c>
      <c r="K24" s="5" t="inlineStr">
        <is>
          <t>Metode ML tradisional akurasinya rendah dan generalisasinya buruk.</t>
        </is>
      </c>
      <c r="L24" s="5" t="inlineStr">
        <is>
          <t>Perbandingan 4 teknik resampling; GA untuk tuning XGBoost; stacking 2 lapis; SHAP.</t>
        </is>
      </c>
      <c r="M24" s="5" t="inlineStr">
        <is>
          <t>Prediksi diabetes</t>
        </is>
      </c>
      <c r="N24" s="5" t="inlineStr">
        <is>
          <t>BRFSS 2021 (Kaggle), Amerika Serikat</t>
        </is>
      </c>
      <c r="O24" s="5" t="inlineStr">
        <is>
          <t>Angka jumlah data tidak konsisten di naskah; prevalensi diabetes 14,2%</t>
        </is>
      </c>
      <c r="P24" s="5" t="inlineStr">
        <is>
          <t>Missing dihapus; recoding sesuai codebook</t>
        </is>
      </c>
      <c r="Q24" s="5" t="inlineStr">
        <is>
          <t>ROS, ADASYN, SMOTE, SMOTEENN (terbaik)</t>
        </is>
      </c>
      <c r="R24" s="5" t="inlineStr">
        <is>
          <t>Korelasi Pearson dan uji chi-square</t>
        </is>
      </c>
      <c r="S24" s="5" t="inlineStr">
        <is>
          <t>XGBoost, AdaBoost, LightGBM, DT, LR, GA-XGBoost, Stacking</t>
        </is>
      </c>
      <c r="T24" s="5" t="inlineStr">
        <is>
          <t>Split 80/20; 5-fold CV untuk stacking</t>
        </is>
      </c>
      <c r="U24" s="5" t="inlineStr">
        <is>
          <t>Accuracy, Precision, Recall, F1, AUC</t>
        </is>
      </c>
      <c r="V24" s="5" t="inlineStr">
        <is>
          <t>XGBoost tanpa resampling AUC 0,828 (recall 17%); stacking setelah SMOTEENN AUC 0,989; Acc 94,9%</t>
        </is>
      </c>
      <c r="W24" s="5" t="inlineStr">
        <is>
          <t>SHAP: kesehatan umum, kolesterol tinggi, BMI</t>
        </is>
      </c>
      <c r="X24" s="5" t="inlineStr">
        <is>
          <t>Data survei Kaggle; parameter optimasi memakan waktu. Catatan reviewer: lonjakan AUC setelah SMOTEENN menunjukkan kemungkinan resampling sebelum split (leakage); angka dataset tidak konsisten.</t>
        </is>
      </c>
      <c r="Y24" s="5" t="inlineStr">
        <is>
          <t>SMOTEENN paling efektif; stacking mengungguli model tunggal.</t>
        </is>
      </c>
      <c r="Z24" s="5" t="inlineStr">
        <is>
          <t>Sedang: perbandingan resampling berguna, tapi juga contoh kesalahan metodologis yang harus dihindari.</t>
        </is>
      </c>
      <c r="AA24" s="5" t="inlineStr">
        <is>
          <t>Full text</t>
        </is>
      </c>
    </row>
    <row r="25">
      <c r="A25" s="4" t="n">
        <v>21</v>
      </c>
      <c r="B25" s="4" t="inlineStr">
        <is>
          <t>Multi-komplikasi</t>
        </is>
      </c>
      <c r="C25" s="4" t="inlineStr">
        <is>
          <t>Wang Y, Wang S, Sima X, Song Y, Cui S, Wang D</t>
        </is>
      </c>
      <c r="D25" s="4" t="n">
        <v>2023</v>
      </c>
      <c r="E25" s="4" t="inlineStr">
        <is>
          <t>Expanded feature space-based gradient boosting ensemble learning for risk prediction of type 2 diabetes complications</t>
        </is>
      </c>
      <c r="F25" s="4" t="inlineStr">
        <is>
          <t>Applied Soft Computing, 144:110451</t>
        </is>
      </c>
      <c r="G25" s="4" t="inlineStr">
        <is>
          <t>10.1016/j.asoc.2023.110451</t>
        </is>
      </c>
      <c r="H25" s="4" t="inlineStr">
        <is>
          <t>Langganan (non-OA)</t>
        </is>
      </c>
      <c r="I25" s="4" t="inlineStr">
        <is>
          <t>papers/21_Wang2023.pdf</t>
        </is>
      </c>
      <c r="J25" s="4" t="inlineStr">
        <is>
          <t>Membangun model risiko komplikasi T2D (IFS-GBRTE: perluasan ruang fitur + ensemble gradient boosting regression tree).</t>
        </is>
      </c>
      <c r="K25" s="4" t="inlineStr">
        <is>
          <t>Fitur klinis terbatas; seleksi fitur hanya mengurangi dimensi tanpa menambah informasi; generalisasi lemah.</t>
        </is>
      </c>
      <c r="L25" s="4" t="inlineStr">
        <is>
          <t>Ekspansi 46 fitur menjadi 8.326 fitur lewat 7 operator, seleksi Gini + greedy CV menjadi 200 fitur.</t>
        </is>
      </c>
      <c r="M25" s="4" t="inlineStr">
        <is>
          <t>Ada/tidak komplikasi T2D (biner, 24,5% positif)</t>
        </is>
      </c>
      <c r="N25" s="4" t="inlineStr">
        <is>
          <t>China National Clinical Medical Science Data Center, RS tersier Tiongkok; 5 tabel digabung per ID pasien (data Tiongkok)</t>
        </is>
      </c>
      <c r="O25" s="4" t="inlineStr">
        <is>
          <t>7.541 kasus awal, 1.913 sampel akhir (452 komplikasi), 46 fitur</t>
        </is>
      </c>
      <c r="P25" s="4" t="inlineStr">
        <is>
          <t>Fitur missing &gt;80% dibuang; sisanya imputasi mean; one-hot nominal; fitur duplikat, teks, dan tak berkorelasi dengan target dibuang</t>
        </is>
      </c>
      <c r="Q25" s="4" t="inlineStr">
        <is>
          <t>Tidak ada resampling; dievaluasi dengan sensitivity, specificity, G-mean</t>
        </is>
      </c>
      <c r="R25" s="4" t="inlineStr">
        <is>
          <t>Ekspansi 7 operator (sum, diff, product, dst) lalu Gini importance CART + greedy 5-fold CV menjadi 200 fitur</t>
        </is>
      </c>
      <c r="S25" s="4" t="inlineStr">
        <is>
          <t>IFS-GBRTE vs RF, GBRTE, AdaBoost, DT, SVM, KNN</t>
        </is>
      </c>
      <c r="T25" s="4" t="inlineStr">
        <is>
          <t>5-fold CV (tanpa validasi eksternal)</t>
        </is>
      </c>
      <c r="U25" s="4" t="inlineStr">
        <is>
          <t>Akurasi, sensitivity, specificity, G-mean</t>
        </is>
      </c>
      <c r="V25" s="4" t="inlineStr">
        <is>
          <t>Akurasi 82,49%, sensitivity 0,397, specificity 0,957, G-mean 0,614; GBRTE 79,25%, RF 79,61%, SVM sensitivity 0</t>
        </is>
      </c>
      <c r="W25" s="4" t="inlineStr">
        <is>
          <t>Tidak ada (fokus akurasi)</t>
        </is>
      </c>
      <c r="X25" s="4" t="inlineStr">
        <is>
          <t>Sensitivity hanya 0,40 sehingga banyak kasus komplikasi terlewat; imputasi mean; tanpa validasi eksternal; seleksi fitur harus dipastikan di dalam fold CV; dataset sama keluarga dengan paper no. 1</t>
        </is>
      </c>
      <c r="Y25" s="4" t="inlineStr">
        <is>
          <t>Ekspansi ruang fitur menaikkan G-mean dibanding GBRTE biasa, tetapi sensitivitas masih rendah.</t>
        </is>
      </c>
      <c r="Z25" s="4" t="inlineStr">
        <is>
          <t>Sangat tinggi: dataset komplikasi T2D Tiongkok, lab tabular, banyak missing.</t>
        </is>
      </c>
      <c r="AA25" s="4" t="inlineStr">
        <is>
          <t>Full text</t>
        </is>
      </c>
    </row>
    <row r="26">
      <c r="A26" s="5" t="n">
        <v>22</v>
      </c>
      <c r="B26" s="5" t="inlineStr">
        <is>
          <t>Multi-komplikasi</t>
        </is>
      </c>
      <c r="C26" s="5" t="inlineStr">
        <is>
          <t>Ye S, Ye J, Ye X, Ni X</t>
        </is>
      </c>
      <c r="D26" s="5" t="n">
        <v>2024</v>
      </c>
      <c r="E26" s="5" t="inlineStr">
        <is>
          <t>Interpretable prediction model for assessing diabetes complication risks in Chinese sufferers</t>
        </is>
      </c>
      <c r="F26" s="5" t="inlineStr">
        <is>
          <t>Diabetes Research and Clinical Practice, 209:111560</t>
        </is>
      </c>
      <c r="G26" s="5" t="inlineStr">
        <is>
          <t>10.1016/j.diabres.2024.111560</t>
        </is>
      </c>
      <c r="H26" s="5" t="inlineStr">
        <is>
          <t>Langganan (non-OA)</t>
        </is>
      </c>
      <c r="I26" s="5" t="inlineStr">
        <is>
          <t>papers/22_Ye2024.pdf</t>
        </is>
      </c>
      <c r="J26" s="5" t="inlineStr">
        <is>
          <t>Model ML interpretable untuk risiko 4 komplikasi (CHD, DN, DR, FLD) pasien diabetes Tiongkok.</t>
        </is>
      </c>
      <c r="K26" s="5" t="inlineStr">
        <is>
          <t>Studi lama memakai statistik tradisional; dataset yang sama hanya difokuskan ke DR/DN; model perlu akurat dan interpretable.</t>
        </is>
      </c>
      <c r="L26" s="5" t="inlineStr">
        <is>
          <t>Pertama memprediksi CHD dan FLD pada dataset ini; SHAP global dan lokal.</t>
        </is>
      </c>
      <c r="M26" s="5" t="inlineStr">
        <is>
          <t>CHD, DN, DR, FLD (empat model biner)</t>
        </is>
      </c>
      <c r="N26" s="5" t="inlineStr">
        <is>
          <t>National Population Health Data Center, PLA General Hospital (data Tiongkok)</t>
        </is>
      </c>
      <c r="O26" s="5" t="inlineStr">
        <is>
          <t>3.000 pasien, 88 fitur; 2.923 setelah cleaning</t>
        </is>
      </c>
      <c r="P26" s="5" t="inlineStr">
        <is>
          <t>Fitur &gt;50% missing dibuang (74 fitur tersisa); sampel dengan &gt;10% fitur missing dibuang; tanpa imputasi (complete-case)</t>
        </is>
      </c>
      <c r="Q26" s="5" t="inlineStr">
        <is>
          <t>Tanpa resampling, class weight saja (positif 31,6% sampai 50,5%)</t>
        </is>
      </c>
      <c r="R26" s="5" t="inlineStr">
        <is>
          <t>Tanpa seleksi eksplisit: semua 74 fitur dipakai</t>
        </is>
      </c>
      <c r="S26" s="5" t="inlineStr">
        <is>
          <t>LR, DT, RF, CatBoost; tuning hyperparameter</t>
        </is>
      </c>
      <c r="T26" s="5" t="inlineStr">
        <is>
          <t>5-fold CV diulang 3 kali</t>
        </is>
      </c>
      <c r="U26" s="5" t="inlineStr">
        <is>
          <t>AUC, akurasi, F1</t>
        </is>
      </c>
      <c r="V26" s="5" t="inlineStr">
        <is>
          <t>CatBoost terbaik, rata-rata AUC 90,47% (CHD 94,79; DN 90,63; DR 91,51; FLD 84,94)</t>
        </is>
      </c>
      <c r="W26" s="5" t="inlineStr">
        <is>
          <t>SHAP: rasio albumin/kreatinin, kreatinin serum, HbA1c, CA199, BMI, TG</t>
        </is>
      </c>
      <c r="X26" s="5" t="inlineStr">
        <is>
          <t>Tipe diabetes tidak dibedakan; data statis; hanya populasi Tiongkok; tanpa validasi eksternal; komplikasi lain dipakai sebagai fitur (risiko sirkular untuk DR dan DN); tanpa CI</t>
        </is>
      </c>
      <c r="Y26" s="5" t="inlineStr">
        <is>
          <t>CatBoost akurat dan dapat dijelaskan untuk empat komplikasi pada data tabular Tiongkok.</t>
        </is>
      </c>
      <c r="Z26" s="5" t="inlineStr">
        <is>
          <t>Sangat tinggi: tabular komplikasi RS Tiongkok termasuk retinopati.</t>
        </is>
      </c>
      <c r="AA26" s="5" t="inlineStr">
        <is>
          <t>Full text</t>
        </is>
      </c>
    </row>
    <row r="27">
      <c r="A27" s="4" t="n">
        <v>23</v>
      </c>
      <c r="B27" s="4" t="inlineStr">
        <is>
          <t>Retinopati (DR)</t>
        </is>
      </c>
      <c r="C27" s="4" t="inlineStr">
        <is>
          <t>Looareesuwan P, Boonmanunt S, Siriyotha S, Lukkunaprasit T, Thammasudjarit R, Pattanaprateep O, Nimitphong H, Reutrakul S, Attia J, McKay G, Thakkinstian A</t>
        </is>
      </c>
      <c r="D27" s="4" t="n">
        <v>2023</v>
      </c>
      <c r="E27" s="4" t="inlineStr">
        <is>
          <t>Retinopathy prediction in type 2 diabetes: Time-varying Cox proportional hazards and machine learning models</t>
        </is>
      </c>
      <c r="F27" s="4" t="inlineStr">
        <is>
          <t>Informatics in Medicine Unlocked, 40:101285</t>
        </is>
      </c>
      <c r="G27" s="4" t="inlineStr">
        <is>
          <t>10.1016/j.imu.2023.101285</t>
        </is>
      </c>
      <c r="H27" s="4" t="inlineStr">
        <is>
          <t>CC BY</t>
        </is>
      </c>
      <c r="I27" s="4" t="inlineStr">
        <is>
          <t>papers/23_Looareesuwan2023.pdf</t>
        </is>
      </c>
      <c r="J27" s="4" t="inlineStr">
        <is>
          <t>Membandingkan Cox time-varying dengan ML survival (LTRC-RRF, LTRC-CIF) untuk prediksi retinopati diabetik.</t>
        </is>
      </c>
      <c r="K27" s="4" t="inlineStr">
        <is>
          <t>Model DR ML sebelumnya klasifikasi biner tanpa time-to-event dan kovariat time-varying; CPH berasumsi linear.</t>
        </is>
      </c>
      <c r="L27" s="4" t="inlineStr">
        <is>
          <t>Desain survival dengan kovariat time-varying dan MICE bertingkat per rumah sakit.</t>
        </is>
      </c>
      <c r="M27" s="4" t="inlineStr">
        <is>
          <t>Insiden DR (time-to-event, censoring)</t>
        </is>
      </c>
      <c r="N27" s="4" t="inlineStr">
        <is>
          <t>EHR Ramathibodi Hospital Bangkok 2010-2019 (Thailand)</t>
        </is>
      </c>
      <c r="O27" s="4" t="inlineStr">
        <is>
          <t>48.622 T2D tanpa DR di baseline; 3.044 DR; split 70/15/15</t>
        </is>
      </c>
      <c r="P27" s="4" t="inlineStr">
        <is>
          <t>Interval 6 bulan; missing 10-37% diimputasi multilevel MICE (cluster RS), 40 imputasi dirata-rata; standardisasi unit; kategorisasi fitur</t>
        </is>
      </c>
      <c r="Q27" s="4" t="inlineStr">
        <is>
          <t>Tidak ditangani (outcome survival dengan censoring)</t>
        </is>
      </c>
      <c r="R27" s="4" t="inlineStr">
        <is>
          <t>Univariat CPH (p&lt;0,2) lalu stepwise (p&lt;0,05) menjadi 13 variabel</t>
        </is>
      </c>
      <c r="S27" s="4" t="inlineStr">
        <is>
          <t>CPH time-varying, LTRC-RRF, LTRC-CIF</t>
        </is>
      </c>
      <c r="T27" s="4" t="inlineStr">
        <is>
          <t>Hold-out 15% (internal)</t>
        </is>
      </c>
      <c r="U27" s="4" t="inlineStr">
        <is>
          <t>Harrell C-index, integrated Brier score</t>
        </is>
      </c>
      <c r="V27" s="4" t="inlineStr">
        <is>
          <t>CPH C-index 0,697 (IBS 0,0275); LTRC-RRF 0,568; LTRC-CIF 0,509. Prediktor: insulin, CKD, kontrol glikemik buruk; SGLT2i protektif</t>
        </is>
      </c>
      <c r="W27" s="4" t="inlineStr">
        <is>
          <t>Hazard ratio (CPH); tanpa feature importance untuk ML</t>
        </is>
      </c>
      <c r="X27" s="4" t="inlineStr">
        <is>
          <t>Follow-up median 3 tahun; underdiagnosis DR; imputasi dirata-rata sehingga variansi imputasi hilang; tanpa validasi eksternal; preprocessing manual</t>
        </is>
      </c>
      <c r="Y27" s="4" t="inlineStr">
        <is>
          <t>Model statistik sederhana mengalahkan ML survival pada data ini.</t>
        </is>
      </c>
      <c r="Z27" s="4" t="inlineStr">
        <is>
          <t>Sedang: populasi Thailand dan desain survival, tetapi contoh MICE bertingkat dan model sederhana vs ML.</t>
        </is>
      </c>
      <c r="AA27" s="4" t="inlineStr">
        <is>
          <t>Full text</t>
        </is>
      </c>
    </row>
    <row r="28">
      <c r="A28" s="5" t="n">
        <v>24</v>
      </c>
      <c r="B28" s="5" t="inlineStr">
        <is>
          <t>Preprocessing: missing data</t>
        </is>
      </c>
      <c r="C28" s="5" t="inlineStr">
        <is>
          <t>Bernardini M, Doinychko A, Romeo L, Frontoni E, Amini MR</t>
        </is>
      </c>
      <c r="D28" s="5" t="n">
        <v>2023</v>
      </c>
      <c r="E28" s="5" t="inlineStr">
        <is>
          <t>A novel missing data imputation approach based on clinical conditional Generative Adversarial Networks applied to EHR datasets</t>
        </is>
      </c>
      <c r="F28" s="5" t="inlineStr">
        <is>
          <t>Computers in Biology and Medicine, 163:107188</t>
        </is>
      </c>
      <c r="G28" s="5" t="inlineStr">
        <is>
          <t>10.1016/j.compbiomed.2023.107188</t>
        </is>
      </c>
      <c r="H28" s="5" t="inlineStr">
        <is>
          <t>Open access</t>
        </is>
      </c>
      <c r="I28" s="5" t="inlineStr">
        <is>
          <t>papers/24_Bernardini2023.pdf</t>
        </is>
      </c>
      <c r="J28" s="5" t="inlineStr">
        <is>
          <t>Imputasi missing data EHR dengan clinical conditional GAN (ccGAN) untuk prediksi retinopati diabetik.</t>
        </is>
      </c>
      <c r="K28" s="5" t="inlineStr">
        <is>
          <t>Imputer baseline (KNN, MissForest, MICE) univariat atau linear; GAN lama tidak memakai fitur lengkap sebagai kondisi.</t>
        </is>
      </c>
      <c r="L28" s="5" t="inlineStr">
        <is>
          <t>ccGAN dikondisikan pada fitur lengkap; gain imputasi ~19,8% (masked MSE); diuji juga di MIMIC-III.</t>
        </is>
      </c>
      <c r="M28" s="5" t="inlineStr">
        <is>
          <t>DR vs kontrol (22% DR)</t>
        </is>
      </c>
      <c r="N28" s="5" t="inlineStr">
        <is>
          <t>Multi-Center Diabetic dataset Italia</t>
        </is>
      </c>
      <c r="O28" s="5" t="inlineStr">
        <is>
          <t>37.574 pasien, 48 prediktor</t>
        </is>
      </c>
      <c r="P28" s="5" t="inlineStr">
        <is>
          <t>48 dari 60 prediktor dipilih diabetolog; pasien dengan fitur lengkap-wajib tak lengkap dibuang; impute fitur dengan missing 3-40%; fitur &gt;80% missing diabaikan; asumsi MCAR</t>
        </is>
      </c>
      <c r="Q28" s="5" t="inlineStr">
        <is>
          <t>Tanpa resampling; macro-F1 dan PR-AUC</t>
        </is>
      </c>
      <c r="R28" s="5" t="inlineStr">
        <is>
          <t>Seleksi pakar (48 prediktor)</t>
        </is>
      </c>
      <c r="S28" s="5" t="inlineStr">
        <is>
          <t>XGB, RF, DT, SVM, LR, KNN dengan imputer KNN, MissForest, MICE, GAIN, MisGAN, ccGAN</t>
        </is>
      </c>
      <c r="T28" s="5" t="inlineStr">
        <is>
          <t>10-fold CV, nested 5-fold grid search, Wilcoxon</t>
        </is>
      </c>
      <c r="U28" s="5" t="inlineStr">
        <is>
          <t>PR-AUC, AUC, macro-F1, masked MSE</t>
        </is>
      </c>
      <c r="V28" s="5" t="inlineStr">
        <is>
          <t>RF + ccGAN PR-AUC 66,16 (AUC 82,67) vs MICE 65,53; XGB + ccGAN 65,20</t>
        </is>
      </c>
      <c r="W28" s="5" t="inlineStr">
        <is>
          <t>Impurity importance; mikroalbuminuria teratas</t>
        </is>
      </c>
      <c r="X28" s="5" t="inlineStr">
        <is>
          <t>Asumsi MCAR tidak realistis untuk lab klinis; gain prediktif kecil (0,6-1,6 poin PR-AUC); fitur missing tinggi tidak diimputasi; data Italia, tanpa validasi eksternal</t>
        </is>
      </c>
      <c r="Y28" s="5" t="inlineStr">
        <is>
          <t>ccGAN sedikit lebih baik dari imputer lain, terutama untuk missing tinggi.</t>
        </is>
      </c>
      <c r="Z28" s="5" t="inlineStr">
        <is>
          <t>Tinggi: referensi skenario ujicoba imputasi untuk retinopati dengan missing tinggi.</t>
        </is>
      </c>
      <c r="AA28" s="5" t="inlineStr">
        <is>
          <t>Full text</t>
        </is>
      </c>
    </row>
    <row r="29">
      <c r="A29" s="4" t="n">
        <v>25</v>
      </c>
      <c r="B29" s="4" t="inlineStr">
        <is>
          <t>Retinopati (DR)</t>
        </is>
      </c>
      <c r="C29" s="4" t="inlineStr">
        <is>
          <t>Laoh E, Ahmad OB, Liu T</t>
        </is>
      </c>
      <c r="D29" s="4" t="n">
        <v>2026</v>
      </c>
      <c r="E29" s="4" t="inlineStr">
        <is>
          <t>A robust and trustable approach to incorporate medical domain knowledge in machine learning models for diabetic retinopathy screening using routine lab results</t>
        </is>
      </c>
      <c r="F29" s="4" t="inlineStr">
        <is>
          <t>Smart Health, 42:100724</t>
        </is>
      </c>
      <c r="G29" s="4" t="inlineStr">
        <is>
          <t>10.1016/j.smhl.2026.100724</t>
        </is>
      </c>
      <c r="H29" s="4" t="inlineStr">
        <is>
          <t>Langganan (non-OA)</t>
        </is>
      </c>
      <c r="I29" s="4" t="inlineStr">
        <is>
          <t>papers/25_Laoh2026.pdf</t>
        </is>
      </c>
      <c r="J29" s="4" t="inlineStr">
        <is>
          <t>Kerangka ML low-dimensional berbasis pengetahuan domain untuk skrining DR dari lab rutin EHR.</t>
        </is>
      </c>
      <c r="K29" s="4" t="inlineStr">
        <is>
          <t>Model AI kompleks sulit dipakai klinis; studi sebelumnya fokus performa atau interpretabilitas, belum divalidasi terhadap pengetahuan medis.</t>
        </is>
      </c>
      <c r="L29" s="4" t="inlineStr">
        <is>
          <t>Metrik TF-RCR (text mining PubMed) dan adaptive RFE menghasilkan 8 fitur.</t>
        </is>
      </c>
      <c r="M29" s="4" t="inlineStr">
        <is>
          <t>DR (17,25%)</t>
        </is>
      </c>
      <c r="N29" s="4" t="inlineStr">
        <is>
          <t>Oracle Health Real-World Data, RS di AS (pasien 18-65 th)</t>
        </is>
      </c>
      <c r="O29" s="4" t="inlineStr">
        <is>
          <t>97.786 pasien, 24 kandidat lab/komorbid</t>
        </is>
      </c>
      <c r="P29" s="4" t="inlineStr">
        <is>
          <t>Cleaning, merging; imputasi median dan scaling di-fit di training lalu diterapkan ke val/test</t>
        </is>
      </c>
      <c r="Q29" s="4" t="inlineStr">
        <is>
          <t>SMOTE hanya di training (split level pasien 64/16/20); val dan test prevalensi asli</t>
        </is>
      </c>
      <c r="R29" s="4" t="inlineStr">
        <is>
          <t>TF-RCR dari 13.002 artikel PubMed + RFE adaptif (batas 7 +/- 2) menjadi 8 fitur</t>
        </is>
      </c>
      <c r="S29" s="4" t="inlineStr">
        <is>
          <t>XGBoost 8 fitur vs LR, XGB 24 fitur, MLP, FT-Transformer</t>
        </is>
      </c>
      <c r="T29" s="4" t="inlineStr">
        <is>
          <t>Hold-out test 19.558 pasien + bootstrap 1000x (tanpa validasi eksternal)</t>
        </is>
      </c>
      <c r="U29" s="4" t="inlineStr">
        <is>
          <t>Akurasi, sensitivitas, spesifisitas, F1, AUROC, AUPRC</t>
        </is>
      </c>
      <c r="V29" s="4" t="inlineStr">
        <is>
          <t>Akurasi 95,35%, sensitivitas 91,17%, AUROC 97,24%, AUPRC 94,55%; XGB 24 fitur AUROC 0,9750</t>
        </is>
      </c>
      <c r="W29" s="4" t="inlineStr">
        <is>
          <t>SHAP global dan lokal (kreatinin, HbA1c, usia, hemoglobin)</t>
        </is>
      </c>
      <c r="X29" s="4" t="inlineStr">
        <is>
          <t>Perlu validasi eksternal; data cross-sectional; nefropati dan neuropati dipakai sebagai prediktor sehingga AUROC tinggi didorong komorbid; label kolom Tabel 3 tampak tertukar</t>
        </is>
      </c>
      <c r="Y29" s="4" t="inlineStr">
        <is>
          <t>8 fitur berbasis literatur setara dengan 24 fitur.</t>
        </is>
      </c>
      <c r="Z29" s="4" t="inlineStr">
        <is>
          <t>Sangat tinggi: skema leakage-safe dan seleksi fitur berbasis literatur untuk DR dari lab rutin.</t>
        </is>
      </c>
      <c r="AA29" s="4" t="inlineStr">
        <is>
          <t>Full text</t>
        </is>
      </c>
    </row>
    <row r="30">
      <c r="A30" s="5" t="n">
        <v>26</v>
      </c>
      <c r="B30" s="5" t="inlineStr">
        <is>
          <t>Neuropati (DPN)</t>
        </is>
      </c>
      <c r="C30" s="5" t="inlineStr">
        <is>
          <t>Hong H, Chen Y, Bao J, Ma J</t>
        </is>
      </c>
      <c r="D30" s="5" t="n">
        <v>2026</v>
      </c>
      <c r="E30" s="5" t="inlineStr">
        <is>
          <t>Development and validation of a risk prediction model for diabetic peripheral neuropathic pain in type 2 diabetes: A machine learning and statistical approach</t>
        </is>
      </c>
      <c r="F30" s="5" t="inlineStr">
        <is>
          <t>Diabetes Research and Clinical Practice, 235:113219</t>
        </is>
      </c>
      <c r="G30" s="5" t="inlineStr">
        <is>
          <t>10.1016/j.diabres.2026.113219</t>
        </is>
      </c>
      <c r="H30" s="5" t="inlineStr">
        <is>
          <t>Langganan (non-OA)</t>
        </is>
      </c>
      <c r="I30" s="5" t="inlineStr">
        <is>
          <t>papers/26_Hong2026.pdf</t>
        </is>
      </c>
      <c r="J30" s="5" t="inlineStr">
        <is>
          <t>Faktor risiko independen, nomogram, dan SHAP untuk nyeri neuropatik perifer diabetik (DPNP).</t>
        </is>
      </c>
      <c r="K30" s="5" t="inlineStr">
        <is>
          <t>Diagnosis DPNP bergantung gejala/konduksi saraf; belum ada alat prediksi dini sederhana; peran AST kurang diteliti.</t>
        </is>
      </c>
      <c r="L30" s="5" t="inlineStr">
        <is>
          <t>Nomogram 7 faktor + RCS non-linear + SHAP.</t>
        </is>
      </c>
      <c r="M30" s="5" t="inlineStr">
        <is>
          <t>DPNP (17,7%)</t>
        </is>
      </c>
      <c r="N30" s="5" t="inlineStr">
        <is>
          <t>RS Afiliasi ke-4 Soochow University, Tiongkok, 2021-2024</t>
        </is>
      </c>
      <c r="O30" s="5" t="inlineStr">
        <is>
          <t>500 pasien T2D, 43 kandidat variabel</t>
        </is>
      </c>
      <c r="P30" s="5" t="inlineStr">
        <is>
          <t>Complete-case (pasien tidak lengkap dikeluarkan, tanpa imputasi)</t>
        </is>
      </c>
      <c r="Q30" s="5" t="inlineStr">
        <is>
          <t>Tanpa resampling; AUPRC dilaporkan</t>
        </is>
      </c>
      <c r="R30" s="5" t="inlineStr">
        <is>
          <t>Univariat (p&lt;0,05) lalu LASSO 10-fold lalu LR backward stepwise (7 variabel)</t>
        </is>
      </c>
      <c r="S30" s="5" t="inlineStr">
        <is>
          <t>Regresi logistik (nomogram); SHAP</t>
        </is>
      </c>
      <c r="T30" s="5" t="inlineStr">
        <is>
          <t>Random split 70/30 + bootstrap 1000x</t>
        </is>
      </c>
      <c r="U30" s="5" t="inlineStr">
        <is>
          <t>AUC, AUPRC, kalibrasi, DCA</t>
        </is>
      </c>
      <c r="V30" s="5" t="inlineStr">
        <is>
          <t>AUC 0,863 (train) dan 0,813 (validasi); AUPRC 0,641/0,610; kalibrasi baik</t>
        </is>
      </c>
      <c r="W30" s="5" t="inlineStr">
        <is>
          <t>Nomogram + SHAP + RCS</t>
        </is>
      </c>
      <c r="X30" s="5" t="inlineStr">
        <is>
          <t>Single center, n validasi kecil (150, CI AUC 0,72-0,91); validasi internal; judul menyebut ML padahal inti pemodelan statistik; complete-case dapat bias seleksi</t>
        </is>
      </c>
      <c r="Y30" s="5" t="inlineStr">
        <is>
          <t>Nomogram 7 faktor memberi diskriminasi memadai.</t>
        </is>
      </c>
      <c r="Z30" s="5" t="inlineStr">
        <is>
          <t>Sedang-tinggi: neuropati, lab tabular, pipeline statistik pembanding untuk ML.</t>
        </is>
      </c>
      <c r="AA30" s="5" t="inlineStr">
        <is>
          <t>Full text</t>
        </is>
      </c>
    </row>
    <row r="31">
      <c r="A31" s="4" t="n">
        <v>27</v>
      </c>
      <c r="B31" s="4" t="inlineStr">
        <is>
          <t>Vaskular (stroke)</t>
        </is>
      </c>
      <c r="C31" s="4" t="inlineStr">
        <is>
          <t>Sun Y, Li J, He H, Xing G, Liu Z, Meng Q, Xu M, Huang L, Pan Z, Liao J, Ji C</t>
        </is>
      </c>
      <c r="D31" s="4" t="n">
        <v>2025</v>
      </c>
      <c r="E31" s="4" t="inlineStr">
        <is>
          <t>Stroke Management and Analysis Risk Tool (SMART): An interpretable clinical application for diabetes-related stroke prediction</t>
        </is>
      </c>
      <c r="F31" s="4" t="inlineStr">
        <is>
          <t>Nutrition, Metabolism and Cardiovascular Diseases, 35(4):103841</t>
        </is>
      </c>
      <c r="G31" s="4" t="inlineStr">
        <is>
          <t>10.1016/j.numecd.2024.103841</t>
        </is>
      </c>
      <c r="H31" s="4" t="inlineStr">
        <is>
          <t>Langganan (non-OA)</t>
        </is>
      </c>
      <c r="I31" s="4" t="inlineStr">
        <is>
          <t>papers/27_Sun2025.pdf</t>
        </is>
      </c>
      <c r="J31" s="4" t="inlineStr">
        <is>
          <t>Faktor risiko dan model prediksi stroke interpretable pada pasien diabetes + web tool SMART.</t>
        </is>
      </c>
      <c r="K31" s="4" t="inlineStr">
        <is>
          <t>Riset risiko stroke terkait diabetes kurang mendalam; model data-driven akurat tapi tidak interpretable.</t>
        </is>
      </c>
      <c r="L31" s="4" t="inlineStr">
        <is>
          <t>11 faktor risiko, perbandingan 5 ML + 2 DL, SHAP, platform web.</t>
        </is>
      </c>
      <c r="M31" s="4" t="inlineStr">
        <is>
          <t>Stroke (4,84%)</t>
        </is>
      </c>
      <c r="N31" s="4" t="inlineStr">
        <is>
          <t>Nanjing Drum Tower Hospital 2021-2022 (data Tiongkok)</t>
        </is>
      </c>
      <c r="O31" s="4" t="inlineStr">
        <is>
          <t>15.676 pasien (759 stroke), 37 variabel</t>
        </is>
      </c>
      <c r="P31" s="4" t="inlineStr">
        <is>
          <t>Variabel missing &gt;15% dibuang; MICE untuk sisanya (sensitivitas vs mean dan PMM); VIF</t>
        </is>
      </c>
      <c r="Q31" s="4" t="inlineStr">
        <is>
          <t>SMOTE (downsampling mayoritas 0,9 dan upsampling minoritas 0,35)</t>
        </is>
      </c>
      <c r="R31" s="4" t="inlineStr">
        <is>
          <t>Irisan LASSO, SVM-RFE, dan univariat+multivariat menjadi 11 fitur</t>
        </is>
      </c>
      <c r="S31" s="4" t="inlineStr">
        <is>
          <t>SVM, RF, XGBoost, AdaBoost, KNN, DNN, ResNet-18</t>
        </is>
      </c>
      <c r="T31" s="4" t="inlineStr">
        <is>
          <t>Split 8:2 + 10-fold CV</t>
        </is>
      </c>
      <c r="U31" s="4" t="inlineStr">
        <is>
          <t>Akurasi, precision, recall, F1, AUC, MCC, DCA</t>
        </is>
      </c>
      <c r="V31" s="4" t="inlineStr">
        <is>
          <t>RF terbaik AUC 0,95 (recall stroke 0,71, MCC 0,81); XGBoost 0,94; DNN 0,91; ResNet-18 0,58</t>
        </is>
      </c>
      <c r="W31" s="4" t="inlineStr">
        <is>
          <t>SHAP: usia dan penyakit serebrovaskular teratas</t>
        </is>
      </c>
      <c r="X31" s="4" t="inlineStr">
        <is>
          <t>Single center; abstrak AUC 0,95 vs diskusi rata-rata 0,81; urutan SMOTE vs split tidak jelas dan precision stroke 0,94 mencurigakan; riwayat serebrovaskular berpotensi leakage; tanpa validasi eksternal</t>
        </is>
      </c>
      <c r="Y31" s="4" t="inlineStr">
        <is>
          <t>RF dengan 11 fitur memprediksi stroke pada pasien diabetes.</t>
        </is>
      </c>
      <c r="Z31" s="4" t="inlineStr">
        <is>
          <t>Sedang: outcome stroke, tetapi contoh MICE + SMOTE + irisan seleksi fitur dan risiko leakage.</t>
        </is>
      </c>
      <c r="AA31" s="4" t="inlineStr">
        <is>
          <t>Full text</t>
        </is>
      </c>
    </row>
    <row r="32">
      <c r="A32" s="5" t="n">
        <v>28</v>
      </c>
      <c r="B32" s="5" t="inlineStr">
        <is>
          <t>Multi-komplikasi</t>
        </is>
      </c>
      <c r="C32" s="5" t="inlineStr">
        <is>
          <t>Aljenfawi H, Mohammed A, Alfailakawi M, Al-Mulla F, Hasan A</t>
        </is>
      </c>
      <c r="D32" s="5" t="n">
        <v>2026</v>
      </c>
      <c r="E32" s="5" t="inlineStr">
        <is>
          <t>Bayesian models to forecast complications and their severity in type 2 diabetes</t>
        </is>
      </c>
      <c r="F32" s="5" t="inlineStr">
        <is>
          <t>Intelligence-Based Medicine, 15:100439</t>
        </is>
      </c>
      <c r="G32" s="5" t="inlineStr">
        <is>
          <t>10.1016/j.ibmed.2026.100439</t>
        </is>
      </c>
      <c r="H32" s="5" t="inlineStr">
        <is>
          <t>CC BY</t>
        </is>
      </c>
      <c r="I32" s="5" t="inlineStr">
        <is>
          <t>papers/28_Aljenfawi2026.pdf</t>
        </is>
      </c>
      <c r="J32" s="5" t="inlineStr">
        <is>
          <t>Bayesian Network untuk onset dan progresi (severity 3 tingkat dari ICD-10) komplikasi ginjal dan oftalmik T2D.</t>
        </is>
      </c>
      <c r="K32" s="5" t="inlineStr">
        <is>
          <t>Model biner per komplikasi; black-box kurang transparan; SHAP tidak menjelaskan dependensi antar variabel.</t>
        </is>
      </c>
      <c r="L32" s="5" t="inlineStr">
        <is>
          <t>Skala severity dari ICD-10; pendekatan Complications-as-Features; BN interpretable vs LR/RF/NB/SVM/XGBoost.</t>
        </is>
      </c>
      <c r="M32" s="5" t="inlineStr">
        <is>
          <t>Severity ginjal dan oftalmik (mild/moderate/severe)</t>
        </is>
      </c>
      <c r="N32" s="5" t="inlineStr">
        <is>
          <t>Dasman Diabetes Institute, Kuwait, 2011-2020</t>
        </is>
      </c>
      <c r="O32" s="5" t="inlineStr">
        <is>
          <t>2.969 pasien, 158.595 kunjungan, 78 fitur</t>
        </is>
      </c>
      <c r="P32" s="5" t="inlineStr">
        <is>
          <t>Gabung per ID + timestamp, buang duplikat, standardisasi unit, filter implausibel; imputasi interpolasi linear, forward/backward fill, median pasien; diskretisasi equal-width</t>
        </is>
      </c>
      <c r="Q32" s="5" t="inlineStr">
        <is>
          <t>SMOTE saat training; macro/weighted PR-AUC dan MCC</t>
        </is>
      </c>
      <c r="R32" s="5" t="inlineStr">
        <is>
          <t>mRMR menjadi 8 fitur (GFR, HDL/LDL, HbA1c, BUN, dst)</t>
        </is>
      </c>
      <c r="S32" s="5" t="inlineStr">
        <is>
          <t>Bayesian Network (PC, MLE) vs LR, RF, NB, SVM, XGBoost</t>
        </is>
      </c>
      <c r="T32" s="5" t="inlineStr">
        <is>
          <t>Stratified 80/20, 100 trial, Mann-Whitney U</t>
        </is>
      </c>
      <c r="U32" s="5" t="inlineStr">
        <is>
          <t>PR-AUC, MCC</t>
        </is>
      </c>
      <c r="V32" s="5" t="inlineStr">
        <is>
          <t>BN PR-AUC 72-74% (oftalmik), 73-83% (ginjal); RF ginjal PR-AUC 0,92 / MCC 0,81</t>
        </is>
      </c>
      <c r="W32" s="5" t="inlineStr">
        <is>
          <t>Struktur jaringan Bayes (dependensi antar variabel)</t>
        </is>
      </c>
      <c r="X32" s="5" t="inlineStr">
        <is>
          <t>Single center; struktur dipelajari dari seluruh data; split level kunjungan (bukan pasien) berisiko leakage; RF lebih baik dari BN; akurasi LR/SVM 0,94 hanya karena kelas mayoritas; fill maju/mundur memakai informasi masa depan</t>
        </is>
      </c>
      <c r="Y32" s="5" t="inlineStr">
        <is>
          <t>BN interpretable, tetapi RF lebih akurat.</t>
        </is>
      </c>
      <c r="Z32" s="5" t="inlineStr">
        <is>
          <t>Tinggi: multi-komplikasi ginjal + oftalmik, imputasi longitudinal, contoh leakage.</t>
        </is>
      </c>
      <c r="AA32" s="5" t="inlineStr">
        <is>
          <t>Full text</t>
        </is>
      </c>
    </row>
    <row r="33">
      <c r="A33" s="4" t="n">
        <v>29</v>
      </c>
      <c r="B33" s="4" t="inlineStr">
        <is>
          <t>Diagnosis / prediabetes</t>
        </is>
      </c>
      <c r="C33" s="4" t="inlineStr">
        <is>
          <t>Okere AN, Li T, Theran C, Nyasani E, Ali AA</t>
        </is>
      </c>
      <c r="D33" s="4" t="n">
        <v>2025</v>
      </c>
      <c r="E33" s="4" t="inlineStr">
        <is>
          <t>Evaluation of factors predicting transition from prediabetes to diabetes among patients residing in underserved communities in the United States - A machine learning approach</t>
        </is>
      </c>
      <c r="F33" s="4" t="inlineStr">
        <is>
          <t>Computers in Biology and Medicine, 187:109824</t>
        </is>
      </c>
      <c r="G33" s="4" t="inlineStr">
        <is>
          <t>10.1016/j.compbiomed.2025.109824</t>
        </is>
      </c>
      <c r="H33" s="4" t="inlineStr">
        <is>
          <t>Langganan (non-OA)</t>
        </is>
      </c>
      <c r="I33" s="4" t="inlineStr">
        <is>
          <t>papers/29_Okere2025.pdf</t>
        </is>
      </c>
      <c r="J33" s="4" t="inlineStr">
        <is>
          <t>Faktor transisi prediabetes ke diabetes di komunitas underserved AS (11 algoritma + SHAP).</t>
        </is>
      </c>
      <c r="K33" s="4" t="inlineStr">
        <is>
          <t>Studi ML sebelumnya tidak memakai data komunitas underserved.</t>
        </is>
      </c>
      <c r="L33" s="4" t="inlineStr">
        <is>
          <t>11 model, SHAP tunggal dan interaksi, faktor SDOH.</t>
        </is>
      </c>
      <c r="M33" s="4" t="inlineStr">
        <is>
          <t>Progresi prediabetes ke diabetes (HbA1c rata-rata &gt;6,4%)</t>
        </is>
      </c>
      <c r="N33" s="4" t="inlineStr">
        <is>
          <t>EHR Federally Qualified Health Center, AS Tenggara, 2012-2022</t>
        </is>
      </c>
      <c r="O33" s="4" t="inlineStr">
        <is>
          <t>1.910 pasien (426 progres)</t>
        </is>
      </c>
      <c r="P33" s="4" t="inlineStr">
        <is>
          <t>One-hot, agregasi per tahun, Quantile Transformation, variabel missing &gt;50% dibuang, MICE-RF (di-fit di training)</t>
        </is>
      </c>
      <c r="Q33" s="4" t="inlineStr">
        <is>
          <t>SMOTE pada training (327 vs 1.201 menjadi 1.201 per kelas)</t>
        </is>
      </c>
      <c r="R33" s="4" t="inlineStr">
        <is>
          <t>Pearson, VIF, step forward/backward, RFE, embedded menjadi 29 fitur</t>
        </is>
      </c>
      <c r="S33" s="4" t="inlineStr">
        <is>
          <t>LR, SVC, KNN, NB, AdaBoost, DT, RF, GB, XGBoost, ExtraTrees</t>
        </is>
      </c>
      <c r="T33" s="4" t="inlineStr">
        <is>
          <t>80/20 + 10-fold CV</t>
        </is>
      </c>
      <c r="U33" s="4" t="inlineStr">
        <is>
          <t>Akurasi, AUC</t>
        </is>
      </c>
      <c r="V33" s="4" t="inlineStr">
        <is>
          <t>RF akurasi 0,900, AUC 0,963 (ET 0,962; XGB 0,952; LR 0,927); akurasi 74% menjadi 90% setelah pemrosesan</t>
        </is>
      </c>
      <c r="W33" s="4" t="inlineStr">
        <is>
          <t>SHAP: time points, obat antidiabetik, dietary counseling, BMI, ras, asuransi</t>
        </is>
      </c>
      <c r="X33" s="4" t="inlineStr">
        <is>
          <t>Confusion matrix RF ~2.400 sampel (2 x 1.201) menandakan CV pada data yang sudah di-SMOTE (leakage, terlalu optimis); prediktor time points terkait definisi outcome; tanpa validasi eksternal</t>
        </is>
      </c>
      <c r="Y33" s="4" t="inlineStr">
        <is>
          <t>RF terbaik, tetapi performa kemungkinan terinflasi.</t>
        </is>
      </c>
      <c r="Z33" s="4" t="inlineStr">
        <is>
          <t>Sedang: bukan komplikasi, tetapi contoh kuat leakage SMOTE-sebelum-CV.</t>
        </is>
      </c>
      <c r="AA33" s="4" t="inlineStr">
        <is>
          <t>Full text</t>
        </is>
      </c>
    </row>
    <row r="34">
      <c r="A34" s="5" t="n">
        <v>30</v>
      </c>
      <c r="B34" s="5" t="inlineStr">
        <is>
          <t>Diagnosis / prediabetes</t>
        </is>
      </c>
      <c r="C34" s="5" t="inlineStr">
        <is>
          <t>Elgendy IA, Hosny M, Albashrawi MA, Alsenan S</t>
        </is>
      </c>
      <c r="D34" s="5" t="n">
        <v>2025</v>
      </c>
      <c r="E34" s="5" t="inlineStr">
        <is>
          <t>Dual-stage explainable ensemble learning model for diabetes diagnosis</t>
        </is>
      </c>
      <c r="F34" s="5" t="inlineStr">
        <is>
          <t>Expert Systems with Applications, 274:126899</t>
        </is>
      </c>
      <c r="G34" s="5" t="inlineStr">
        <is>
          <t>10.1016/j.eswa.2025.126899</t>
        </is>
      </c>
      <c r="H34" s="5" t="inlineStr">
        <is>
          <t>Langganan (non-OA)</t>
        </is>
      </c>
      <c r="I34" s="5" t="inlineStr">
        <is>
          <t>papers/30_Elgendy2025.pdf</t>
        </is>
      </c>
      <c r="J34" s="5" t="inlineStr">
        <is>
          <t>Stacking ensemble explainable untuk diagnosis diabetes dengan LOF + sparse autoencoder dan 4 strategi penanganan data.</t>
        </is>
      </c>
      <c r="K34" s="5" t="inlineStr">
        <is>
          <t>Voting sederhana; seleksi fitur membuang fitur klinis; penjelasan hanya di level fitur.</t>
        </is>
      </c>
      <c r="L34" s="5" t="inlineStr">
        <is>
          <t>Rekonstruksi autoencoder, 4 strategi imputasi/penghapusan, stacking, XAI dua lapis.</t>
        </is>
      </c>
      <c r="M34" s="5" t="inlineStr">
        <is>
          <t>Diagnosis diabetes</t>
        </is>
      </c>
      <c r="N34" s="5" t="inlineStr">
        <is>
          <t>MIMIC-IV dan Pima Indians Diabetes</t>
        </is>
      </c>
      <c r="O34" s="5" t="inlineStr">
        <is>
          <t>37.246 pasien (7.472 diabetes), 10 fitur; Pima 768</t>
        </is>
      </c>
      <c r="P34" s="5" t="inlineStr">
        <is>
          <t>LOF (k=30) + sparse autoencoder; outlier dihapus/diimputasi KNN/mean/nol; SMOTE setelah pembersihan outlier</t>
        </is>
      </c>
      <c r="Q34" s="5" t="inlineStr">
        <is>
          <t>SMOTE (dilakukan sebelum split)</t>
        </is>
      </c>
      <c r="R34" s="5" t="inlineStr">
        <is>
          <t>Tanpa seleksi (semua fitur + SHAP)</t>
        </is>
      </c>
      <c r="S34" s="5" t="inlineStr">
        <is>
          <t>7 base (AdaBoost, GBoost, HistGB, ExtraTrees, CatBoost, XGBoost, KNN) + 4 meta (Bagging, RF, MLP, LR)</t>
        </is>
      </c>
      <c r="T34" s="5" t="inlineStr">
        <is>
          <t>Hold-out 80/20, tanpa CV</t>
        </is>
      </c>
      <c r="U34" s="5" t="inlineStr">
        <is>
          <t>Akurasi, F1, AUC</t>
        </is>
      </c>
      <c r="V34" s="5" t="inlineStr">
        <is>
          <t>Stacking MLP akurasi 92,54% (AUC 92,52) setelah outlier dihapus; KNN imputation 89,40%</t>
        </is>
      </c>
      <c r="W34" s="5" t="inlineStr">
        <is>
          <t>Feature importance + SHAP base ke meta</t>
        </is>
      </c>
      <c r="X34" s="5" t="inlineStr">
        <is>
          <t>Outlier removal dan SMOTE sebelum split (leakage); menghapus sampel sulit menaikkan akurasi sehingga tidak sebanding; hanya 10 fitur tanpa lab; gagal ginjal dipakai sebagai prediktor; populasi ICU; tanpa uji signifikansi</t>
        </is>
      </c>
      <c r="Y34" s="5" t="inlineStr">
        <is>
          <t>Stacking MLP terbaik, namun urutan preprocessing meragukan.</t>
        </is>
      </c>
      <c r="Z34" s="5" t="inlineStr">
        <is>
          <t>Rendah-sedang: diagnosis dengan fitur minim, tetapi contoh kritis urutan preprocessing.</t>
        </is>
      </c>
      <c r="AA34" s="5" t="inlineStr">
        <is>
          <t>Full text</t>
        </is>
      </c>
    </row>
    <row r="35">
      <c r="A35" s="4" t="n">
        <v>31</v>
      </c>
      <c r="B35" s="4" t="inlineStr">
        <is>
          <t>Preprocessing: imbalance</t>
        </is>
      </c>
      <c r="C35" s="4" t="inlineStr">
        <is>
          <t>Chowdhury MM, Ayon RS, Hossain MS</t>
        </is>
      </c>
      <c r="D35" s="4" t="n">
        <v>2024</v>
      </c>
      <c r="E35" s="4" t="inlineStr">
        <is>
          <t>An investigation of machine learning algorithms and data augmentation techniques for diabetes diagnosis using class imbalanced BRFSS dataset</t>
        </is>
      </c>
      <c r="F35" s="4" t="inlineStr">
        <is>
          <t>Healthcare Analytics, 5:100297</t>
        </is>
      </c>
      <c r="G35" s="4" t="inlineStr">
        <is>
          <t>10.1016/j.health.2023.100297</t>
        </is>
      </c>
      <c r="H35" s="4" t="inlineStr">
        <is>
          <t>Open access</t>
        </is>
      </c>
      <c r="I35" s="4" t="inlineStr">
        <is>
          <t>papers/31_Chowdhury2024.pdf</t>
        </is>
      </c>
      <c r="J35" s="4" t="inlineStr">
        <is>
          <t>Prediksi risiko diabetes dari BRFSS 2021 dengan membandingkan teknik sampling tanpa data leakage.</t>
        </is>
      </c>
      <c r="K35" s="4" t="inlineStr">
        <is>
          <t>Kelas diabetes minoritas membuat recall rendah; banyak studi menerapkan sampling pada seluruh data sehingga metrik terinflasi.</t>
        </is>
      </c>
      <c r="L35" s="4" t="inlineStr">
        <is>
          <t>SMOTE-N, ENN, SMOTE-Tomek, SMOTE-ENN hanya pada data training.</t>
        </is>
      </c>
      <c r="M35" s="4" t="inlineStr">
        <is>
          <t>Diabetes (18%)</t>
        </is>
      </c>
      <c r="N35" s="4" t="inlineStr">
        <is>
          <t>BRFSS 2021 (survei CDC, AS)</t>
        </is>
      </c>
      <c r="O35" s="4" t="inlineStr">
        <is>
          <t>262.958 x 21 setelah filter</t>
        </is>
      </c>
      <c r="P35" s="4" t="inlineStr">
        <is>
          <t>Drop missing, stratified split 80/20 sebelum sampling, one-hot (92 kolom); tanpa imputasi</t>
        </is>
      </c>
      <c r="Q35" s="4" t="inlineStr">
        <is>
          <t>SMOTE-N, ENN, SMOTE-Tomek, SMOTE-ENN pada training saja</t>
        </is>
      </c>
      <c r="R35" s="4" t="inlineStr">
        <is>
          <t>20 variabel dari literatur (tanpa seleksi formal)</t>
        </is>
      </c>
      <c r="S35" s="4" t="inlineStr">
        <is>
          <t>LR, RF, Gradient Boosting, AdaBoost, soft voting; GridSearchCV</t>
        </is>
      </c>
      <c r="T35" s="4" t="inlineStr">
        <is>
          <t>Hold-out 80/20 stratified</t>
        </is>
      </c>
      <c r="U35" s="4" t="inlineStr">
        <is>
          <t>Precision, recall, akurasi, AUC</t>
        </is>
      </c>
      <c r="V35" s="4" t="inlineStr">
        <is>
          <t>ENN + GB terbaik: recall 0,717, AUC 0,791, akurasi 0,703; tanpa sampling recall 0,57-0,58</t>
        </is>
      </c>
      <c r="W35" s="4" t="inlineStr">
        <is>
          <t>Tidak ada</t>
        </is>
      </c>
      <c r="X35" s="4" t="inlineStr">
        <is>
          <t>Jumlah data Tabel 2 (313.913) dan Tabel 4 (262.958) berbeda; survei self-report; fitur nominal tanpa lab; tanpa CV dan uji signifikansi; AUC hampir tidak naik; threshold 0,5 tidak dioptimalkan sebagai alternatif</t>
        </is>
      </c>
      <c r="Y35" s="4" t="inlineStr">
        <is>
          <t>ENN menaikkan recall 13-14 poin dengan akurasi turun.</t>
        </is>
      </c>
      <c r="Z35" s="4" t="inlineStr">
        <is>
          <t>Sedang: praktik benar sampling hanya di train + perbandingan 4 teknik.</t>
        </is>
      </c>
      <c r="AA35" s="4" t="inlineStr">
        <is>
          <t>Full text</t>
        </is>
      </c>
    </row>
    <row r="36">
      <c r="A36" s="5" t="n">
        <v>32</v>
      </c>
      <c r="B36" s="5" t="inlineStr">
        <is>
          <t>Readmisi / akut</t>
        </is>
      </c>
      <c r="C36" s="5" t="inlineStr">
        <is>
          <t>Guo C, Zhou H, Pires IM, Coelho PJ, Tong R, Farid F</t>
        </is>
      </c>
      <c r="D36" s="5" t="n">
        <v>2025</v>
      </c>
      <c r="E36" s="5" t="inlineStr">
        <is>
          <t>Towards an explainable machine learning model to reduce readmission risks for diabetes patients</t>
        </is>
      </c>
      <c r="F36" s="5" t="inlineStr">
        <is>
          <t>Informatics in Medicine Unlocked, 58:101686</t>
        </is>
      </c>
      <c r="G36" s="5" t="inlineStr">
        <is>
          <t>10.1016/j.imu.2025.101686</t>
        </is>
      </c>
      <c r="H36" s="5" t="inlineStr">
        <is>
          <t>Open access</t>
        </is>
      </c>
      <c r="I36" s="5" t="inlineStr">
        <is>
          <t>papers/32_Guo2025.pdf</t>
        </is>
      </c>
      <c r="J36" s="5" t="inlineStr">
        <is>
          <t>Model ML explainable untuk prediksi readmisi pasien diabetes dan faktor risikonya.</t>
        </is>
      </c>
      <c r="K36" s="5" t="inlineStr">
        <is>
          <t>Dataset readmisi jarang menangani imbalance dan kurang interpretable.</t>
        </is>
      </c>
      <c r="L36" s="5" t="inlineStr">
        <is>
          <t>Benchmark none/ROS/SMOTE/OSS/SMOTETomek/Bagging-RF; SHAP, PDP, permutation importance.</t>
        </is>
      </c>
      <c r="M36" s="5" t="inlineStr">
        <is>
          <t>Readmisi (11,23%)</t>
        </is>
      </c>
      <c r="N36" s="5" t="inlineStr">
        <is>
          <t>Diabetes 130-US hospitals 1999-2008</t>
        </is>
      </c>
      <c r="O36" s="5" t="inlineStr">
        <is>
          <t>99.492 x 41 setelah cleaning</t>
        </is>
      </c>
      <c r="P36" s="5" t="inlineStr">
        <is>
          <t>Drop kolom &gt;50% missing; baris missing dibuang; binning kategori diagnosis; MinMaxScaler; one-hot</t>
        </is>
      </c>
      <c r="Q36" s="5" t="inlineStr">
        <is>
          <t>SMOTE, ROS, OSS, SMOTETomek, Bagging(RF); SMOTE di training</t>
        </is>
      </c>
      <c r="R36" s="5" t="inlineStr">
        <is>
          <t>Variance, chi-square, ANOVA, MI, RFE (32 fitur untuk RF)</t>
        </is>
      </c>
      <c r="S36" s="5" t="inlineStr">
        <is>
          <t>DT, LR, RF, XGBoost, AdaBoost, KNN, QDA</t>
        </is>
      </c>
      <c r="T36" s="5" t="inlineStr">
        <is>
          <t>Split 80/20 stratified; 5/10-fold CV</t>
        </is>
      </c>
      <c r="U36" s="5" t="inlineStr">
        <is>
          <t>Akurasi, precision</t>
        </is>
      </c>
      <c r="V36" s="5" t="inlineStr">
        <is>
          <t>Bagging RF akurasi 0,89, presisi 0,67; SMOTE menurunkan presisi RF 0,61 menjadi 0,44</t>
        </is>
      </c>
      <c r="W36" s="5" t="inlineStr">
        <is>
          <t>SHAP, PDP, 2D PDP, permutation importance</t>
        </is>
      </c>
      <c r="X36" s="5" t="inlineStr">
        <is>
          <t>Akurasi 0,89 hampir sama proporsi mayoritas (88,77%); recall tidak dilaporkan; klaim SMOTE meningkatkan recall tidak didukung tabel; tuning di test set; data 1999-2008; bukan komplikasi</t>
        </is>
      </c>
      <c r="Y36" s="5" t="inlineStr">
        <is>
          <t>Bagging RF terbaik; SMOTE tidak selalu membantu.</t>
        </is>
      </c>
      <c r="Z36" s="5" t="inlineStr">
        <is>
          <t>Sedang: contoh akurasi menyesatkan pada data imbalance.</t>
        </is>
      </c>
      <c r="AA36" s="5" t="inlineStr">
        <is>
          <t>Full text</t>
        </is>
      </c>
    </row>
    <row r="37">
      <c r="A37" s="4" t="n">
        <v>33</v>
      </c>
      <c r="B37" s="4" t="inlineStr">
        <is>
          <t>Diagnosis / prediabetes</t>
        </is>
      </c>
      <c r="C37" s="4" t="inlineStr">
        <is>
          <t>Shaheen I, Javaid N, Alrajeh N, Asim Y, Aslam S</t>
        </is>
      </c>
      <c r="D37" s="4" t="n">
        <v>2024</v>
      </c>
      <c r="E37" s="4" t="inlineStr">
        <is>
          <t>Hi-Le and HiTCLe: Ensemble Learning Approaches for Early Diabetes Detection Using Deep Learning and Explainable Artificial Intelligence</t>
        </is>
      </c>
      <c r="F37" s="4" t="inlineStr">
        <is>
          <t>IEEE Access, 12:66516-66538</t>
        </is>
      </c>
      <c r="G37" s="4" t="inlineStr">
        <is>
          <t>10.1109/ACCESS.2024.3398198</t>
        </is>
      </c>
      <c r="H37" s="4" t="inlineStr">
        <is>
          <t>Open access</t>
        </is>
      </c>
      <c r="I37" s="4" t="inlineStr">
        <is>
          <t>papers/33_Shaheen2024.pdf</t>
        </is>
      </c>
      <c r="J37" s="4" t="inlineStr">
        <is>
          <t>Ensemble deep learning (Highway + LeNet; blending dengan TCN) untuk deteksi dini diabetes pada data sangat imbalance.</t>
        </is>
      </c>
      <c r="K37" s="4" t="inlineStr">
        <is>
          <t>DL belum dioptimalkan pada data tabular diabetes imbalance dan sulit diinterpretasi.</t>
        </is>
      </c>
      <c r="L37" s="4" t="inlineStr">
        <is>
          <t>Hi-Le dan HiTCLe, ProWSyn, SHAP, ablation.</t>
        </is>
      </c>
      <c r="M37" s="4" t="inlineStr">
        <is>
          <t>Diabetes (8,5%)</t>
        </is>
      </c>
      <c r="N37" s="4" t="inlineStr">
        <is>
          <t>Diabetes Prediction Dataset (Kaggle, agregasi EHR)</t>
        </is>
      </c>
      <c r="O37" s="4" t="inlineStr">
        <is>
          <t>100.000 x 9 fitur</t>
        </is>
      </c>
      <c r="P37" s="4" t="inlineStr">
        <is>
          <t>Factorize encoding; tanpa penanganan missing/outlier eksplisit</t>
        </is>
      </c>
      <c r="Q37" s="4" t="inlineStr">
        <is>
          <t>ProWSyn oversampling (sebelum split)</t>
        </is>
      </c>
      <c r="R37" s="4" t="inlineStr">
        <is>
          <t>Tidak ada (SHAP)</t>
        </is>
      </c>
      <c r="S37" s="4" t="inlineStr">
        <is>
          <t>Highway, LeNet-5, TCN, Hi-Le, HiTCLe</t>
        </is>
      </c>
      <c r="T37" s="4" t="inlineStr">
        <is>
          <t>Train/test + 10-fold CV</t>
        </is>
      </c>
      <c r="U37" s="4" t="inlineStr">
        <is>
          <t>Akurasi, F1, precision, recall</t>
        </is>
      </c>
      <c r="V37" s="4" t="inlineStr">
        <is>
          <t>Hi-Le akurasi 94%, F1 96%; HiTCLe akurasi 94%; model tunggal 89-91%</t>
        </is>
      </c>
      <c r="W37" s="4" t="inlineStr">
        <is>
          <t>SHAP</t>
        </is>
      </c>
      <c r="X37" s="4" t="inlineStr">
        <is>
          <t>Dilatih dan diuji pada data hasil oversampling (sampel sintetis bocor ke test); HbA1c dan glukosa menentukan diagnosis (target leakage klinis); TCN untuk tabular tanpa dasar temporal; F1 96% &gt; precision 94% dan recall 95% tidak konsisten; tanpa pembanding gradient boosting</t>
        </is>
      </c>
      <c r="Y37" s="4" t="inlineStr">
        <is>
          <t>Hi-Le mencapai akurasi 94%, namun metrik terinflasi.</t>
        </is>
      </c>
      <c r="Z37" s="4" t="inlineStr">
        <is>
          <t>Rendah-sedang: contoh kritis leakage oversampling dan fitur penentu diagnosis.</t>
        </is>
      </c>
      <c r="AA37" s="4" t="inlineStr">
        <is>
          <t>Full text</t>
        </is>
      </c>
    </row>
    <row r="38">
      <c r="A38" s="5" t="n">
        <v>34</v>
      </c>
      <c r="B38" s="5" t="inlineStr">
        <is>
          <t>Readmisi / akut</t>
        </is>
      </c>
      <c r="C38" s="5" t="inlineStr">
        <is>
          <t>Obaido G, Ogbuokiri B, Chukwu CW, Osaye FJ, Egbelowo OF, Uzochukwu MI, Mienye ID, Aruleba K, et al.</t>
        </is>
      </c>
      <c r="D38" s="5" t="n">
        <v>2024</v>
      </c>
      <c r="E38" s="5" t="inlineStr">
        <is>
          <t>An Improved Ensemble Method for Predicting Hyperchloremia in Adults With Diabetic Ketoacidosis</t>
        </is>
      </c>
      <c r="F38" s="5" t="inlineStr">
        <is>
          <t>IEEE Access, 12:9536-9549</t>
        </is>
      </c>
      <c r="G38" s="5" t="inlineStr">
        <is>
          <t>10.1109/ACCESS.2024.3351188</t>
        </is>
      </c>
      <c r="H38" s="5" t="inlineStr">
        <is>
          <t>Open access</t>
        </is>
      </c>
      <c r="I38" s="5" t="inlineStr">
        <is>
          <t>papers/34_Obaido2024.pdf</t>
        </is>
      </c>
      <c r="J38" s="5" t="inlineStr">
        <is>
          <t>Prediksi hyperchloremia pada pasien dewasa DKA dengan bagging + random subspace dan LIME.</t>
        </is>
      </c>
      <c r="K38" s="5" t="inlineStr">
        <is>
          <t>ML untuk hyperchloremia pada DKA terbatas dengan performa rendah.</t>
        </is>
      </c>
      <c r="L38" s="5" t="inlineStr">
        <is>
          <t>Ensemble bagging random subspace, faktor risiko, LIME.</t>
        </is>
      </c>
      <c r="M38" s="5" t="inlineStr">
        <is>
          <t>Hyperchloremia (17%)</t>
        </is>
      </c>
      <c r="N38" s="5" t="inlineStr">
        <is>
          <t>MIMIC-III (ICU, AS)</t>
        </is>
      </c>
      <c r="O38" s="5" t="inlineStr">
        <is>
          <t>1.177 pasien DKA</t>
        </is>
      </c>
      <c r="P38" s="5" t="inlineStr">
        <is>
          <t>Imputasi (metode tidak disebut), ekstraksi fitur berbasis korelasi dengan outcome, standardisasi</t>
        </is>
      </c>
      <c r="Q38" s="5" t="inlineStr">
        <is>
          <t>SMOTE (dibandingkan dengan dan tanpa)</t>
        </is>
      </c>
      <c r="R38" s="5" t="inlineStr">
        <is>
          <t>Korelasi dengan outcome + random subspace</t>
        </is>
      </c>
      <c r="S38" s="5" t="inlineStr">
        <is>
          <t>SVM, KNN, LR, RF, XGBoost, Bagging + random subspace</t>
        </is>
      </c>
      <c r="T38" s="5" t="inlineStr">
        <is>
          <t>10-fold CV (tanpa hold-out)</t>
        </is>
      </c>
      <c r="U38" s="5" t="inlineStr">
        <is>
          <t>Akurasi, sensitivitas, spesifisitas, AUC</t>
        </is>
      </c>
      <c r="V38" s="5" t="inlineStr">
        <is>
          <t>Tanpa SMOTE akurasi 94%; dengan SMOTE Bagging akurasi 100%, AUC 100%</t>
        </is>
      </c>
      <c r="W38" s="5" t="inlineStr">
        <is>
          <t>LIME: klorida dan bikarbonat</t>
        </is>
      </c>
      <c r="X38" s="5" t="inlineStr">
        <is>
          <t>Akurasi/AUC 100% mencurigakan (SMOTE sebelum CV, seleksi fitur pada seluruh data); klorida admisi hampir tautologi dengan outcome; metode imputasi tidak disebut; satu dataset ICU</t>
        </is>
      </c>
      <c r="Y38" s="5" t="inlineStr">
        <is>
          <t>Bagging random subspace dengan SMOTE mencapai 100%, tetapi hampir pasti terinflasi.</t>
        </is>
      </c>
      <c r="Z38" s="5" t="inlineStr">
        <is>
          <t>Rendah-sedang: komplikasi akut DKA di ICU; bahan kritik leakage SMOTE + CV.</t>
        </is>
      </c>
      <c r="AA38" s="5" t="inlineStr">
        <is>
          <t>Full text</t>
        </is>
      </c>
    </row>
    <row r="39">
      <c r="A39" s="4" t="n">
        <v>35</v>
      </c>
      <c r="B39" s="4" t="inlineStr">
        <is>
          <t>Preprocessing: imbalance</t>
        </is>
      </c>
      <c r="C39" s="4" t="inlineStr">
        <is>
          <t>Fazakis N, Kotsiantis S, Dimakopoulos Y</t>
        </is>
      </c>
      <c r="D39" s="4" t="n">
        <v>2026</v>
      </c>
      <c r="E39" s="4" t="inlineStr">
        <is>
          <t>MAGA: A Controlled Minority-Class Generative-Augmentation Framework With Fairness-Aware Selection for Imbalanced Diabetes Tabular Classification</t>
        </is>
      </c>
      <c r="F39" s="4" t="inlineStr">
        <is>
          <t>IEEE Access, 14:68076-68094</t>
        </is>
      </c>
      <c r="G39" s="4" t="inlineStr">
        <is>
          <t>10.1109/ACCESS.2026.3689690</t>
        </is>
      </c>
      <c r="H39" s="4" t="inlineStr">
        <is>
          <t>CC BY</t>
        </is>
      </c>
      <c r="I39" s="4" t="inlineStr">
        <is>
          <t>papers/35_Fazakis2026.pdf</t>
        </is>
      </c>
      <c r="J39" s="4" t="inlineStr">
        <is>
          <t>Membandingkan 6 oversampler klasik dengan 4 generator tabular pada diabetes imbalance, dengan kerangka MAGA.</t>
        </is>
      </c>
      <c r="K39" s="4" t="inlineStr">
        <is>
          <t>Evaluasi biasanya satu keluarga balancing tanpa penalti fairness; data sintetis perlu kontrol validitas.</t>
        </is>
      </c>
      <c r="L39" s="4" t="inlineStr">
        <is>
          <t>Benchmark 720 kombinasi; MAGA (generasi minoritas, fidelity filter, threshold via J_VAL); Friedman dan Wilcoxon-Holm.</t>
        </is>
      </c>
      <c r="M39" s="4" t="inlineStr">
        <is>
          <t>Diabetes (imbalance buatan 60/80/100%)</t>
        </is>
      </c>
      <c r="N39" s="4" t="inlineStr">
        <is>
          <t>OpenML Pima dan subset NHANES</t>
        </is>
      </c>
      <c r="O39" s="4" t="inlineStr">
        <is>
          <t>Pima 768; NHANES 2.000 x 16</t>
        </is>
      </c>
      <c r="P39" s="4" t="inlineStr">
        <is>
          <t>Augmentasi hanya di training; threshold dituning di validation; NaN dengan KNN minoritas; clipping IQR; dedup</t>
        </is>
      </c>
      <c r="Q39" s="4" t="inlineStr">
        <is>
          <t>SMOTE, ADASYN, Borderline, SVM-SMOTE, KMeans-SMOTE, Copula, TVAE, CTGAN, GREAT</t>
        </is>
      </c>
      <c r="R39" s="4" t="inlineStr">
        <is>
          <t>Tidak ada</t>
        </is>
      </c>
      <c r="S39" s="4" t="inlineStr">
        <is>
          <t>RF, LR, HistGB, DT, GNB, SVC</t>
        </is>
      </c>
      <c r="T39" s="4" t="inlineStr">
        <is>
          <t>Train/val/test, 2 seed, tanpa CV</t>
        </is>
      </c>
      <c r="U39" s="4" t="inlineStr">
        <is>
          <t>PR-AUC, F1, recall, J_VAL, EOD, DPD</t>
        </is>
      </c>
      <c r="V39" s="4" t="inlineStr">
        <is>
          <t>GREAT+MAGA PR-AUC 0,6374, recall 0,9063; SMOTE J_VAL tertinggi 0,6958; klasik vs generatif hampir sama (0,6226 vs 0,6225)</t>
        </is>
      </c>
      <c r="W39" s="4" t="inlineStr">
        <is>
          <t>Tidak ada</t>
        </is>
      </c>
      <c r="X39" s="4" t="inlineStr">
        <is>
          <t>Hanya 2 seed dan satu split; dataset kecil dan bukan komplikasi; grup sensitif lemah; bobot J_VAL manual; GREAT mahal untuk selisih kecil dari SMOTE; tanpa validasi eksternal</t>
        </is>
      </c>
      <c r="Y39" s="4" t="inlineStr">
        <is>
          <t>Generatif tidak jelas mengungguli SMOTE.</t>
        </is>
      </c>
      <c r="Z39" s="4" t="inlineStr">
        <is>
          <t>Sedang: praktik benar augmentasi hanya di train dan pembanding SMOTE vs generatif.</t>
        </is>
      </c>
      <c r="AA39" s="4" t="inlineStr">
        <is>
          <t>Full text</t>
        </is>
      </c>
    </row>
    <row r="40">
      <c r="A40" s="5" t="n">
        <v>36</v>
      </c>
      <c r="B40" s="5" t="inlineStr">
        <is>
          <t>Diagnosis / prediabetes</t>
        </is>
      </c>
      <c r="C40" s="5" t="inlineStr">
        <is>
          <t>Gressler, Nascimento, Schultze, Souza</t>
        </is>
      </c>
      <c r="D40" s="5" t="n">
        <v>2026</v>
      </c>
      <c r="E40" s="5" t="inlineStr">
        <is>
          <t>Multiparameter Machine-Learning-Based Diabetes Screening From Routine Laboratory Data in a Brazilian Hospital Cohort</t>
        </is>
      </c>
      <c r="F40" s="5" t="inlineStr">
        <is>
          <t>IEEE Access, 14:41699-41711</t>
        </is>
      </c>
      <c r="G40" s="5" t="inlineStr">
        <is>
          <t>10.1109/ACCESS.2026.3673706</t>
        </is>
      </c>
      <c r="H40" s="5" t="inlineStr">
        <is>
          <t>CC BY</t>
        </is>
      </c>
      <c r="I40" s="5" t="inlineStr">
        <is>
          <t>papers/36_Gressler2026.pdf</t>
        </is>
      </c>
      <c r="J40" s="5" t="inlineStr">
        <is>
          <t>Membandingkan 6 classifier dan 3 strategi resampling untuk deteksi diabetes dari lab rutin dengan skenario GLU atau A1C.</t>
        </is>
      </c>
      <c r="K40" s="5" t="inlineStr">
        <is>
          <t>Model prediksi memakai sedikit parameter; bukti dari kohort RS nyata di sistem kesehatan underrepresented masih sedikit.</t>
        </is>
      </c>
      <c r="L40" s="5" t="inlineStr">
        <is>
          <t>Kohort RS riil, dua skenario, SMOTE/ENN/SMOTE-ENN dengan CI 95% dan uji Holm, SHAP.</t>
        </is>
      </c>
      <c r="M40" s="5" t="inlineStr">
        <is>
          <t>Diabetes (18,75%)</t>
        </is>
      </c>
      <c r="N40" s="5" t="inlineStr">
        <is>
          <t>HU-Furg, Rio Grande, Brasil, 2020-2024</t>
        </is>
      </c>
      <c r="O40" s="5" t="inlineStr">
        <is>
          <t>3.535 dewasa (663 DM)</t>
        </is>
      </c>
      <c r="P40" s="5" t="inlineStr">
        <is>
          <t>Complete case; outlier z-score di luar [-3,3] dibuang (426); LabelEncoder; MinMax</t>
        </is>
      </c>
      <c r="Q40" s="5" t="inlineStr">
        <is>
          <t>SMOTE, ENN, SMOTE-ENN hanya di training</t>
        </is>
      </c>
      <c r="R40" s="5" t="inlineStr">
        <is>
          <t>Berbasis korelasi EDA (set GLU atau A1C)</t>
        </is>
      </c>
      <c r="S40" s="5" t="inlineStr">
        <is>
          <t>SVC, RF, DT, KNN, LR, GNB</t>
        </is>
      </c>
      <c r="T40" s="5" t="inlineStr">
        <is>
          <t>Hold-out 80/20 (707 test), CI Wilson/bootstrap/Hanley-McNeil</t>
        </is>
      </c>
      <c r="U40" s="5" t="inlineStr">
        <is>
          <t>Akurasi, precision, recall, specificity, F1, AUROC</t>
        </is>
      </c>
      <c r="V40" s="5" t="inlineStr">
        <is>
          <t>GLU: RF+ENN recall 93,98% [88,58-96,92], AUROC 0,954; A1C: RF+SMOTE recall 90,23%, AUROC 0,959</t>
        </is>
      </c>
      <c r="W40" s="5" t="inlineStr">
        <is>
          <t>SHAP: GLU/A1C, hipertensi, VLDL, TRI</t>
        </is>
      </c>
      <c r="X40" s="5" t="inlineStr">
        <is>
          <t>Outlier dibuang sebelum split dan membuang kasus ekstrem khas diabetes; GLU/A1C adalah kriteria diagnosis (leakage klinis); tuning dan operating point di test set; prevalensi 18,75% vs 23,08% tidak konsisten; satu pusat</t>
        </is>
      </c>
      <c r="Y40" s="5" t="inlineStr">
        <is>
          <t>RF dengan resampling mencapai recall &gt;90%, tetapi sebagian karena fitur diagnostik.</t>
        </is>
      </c>
      <c r="Z40" s="5" t="inlineStr">
        <is>
          <t>Sedang: fitur lab mirip Zenodo, pengaruh outlier removal, resampling train-only dengan CI.</t>
        </is>
      </c>
      <c r="AA40" s="5" t="inlineStr">
        <is>
          <t>Full text</t>
        </is>
      </c>
    </row>
    <row r="41">
      <c r="A41" s="4" t="n">
        <v>37</v>
      </c>
      <c r="B41" s="4" t="inlineStr">
        <is>
          <t>Survei / SLR</t>
        </is>
      </c>
      <c r="C41" s="4" t="inlineStr">
        <is>
          <t>Ghaniaviyanto Ramadhan, Adiwijaya, Maharani, Akbar Gozali</t>
        </is>
      </c>
      <c r="D41" s="4" t="n">
        <v>2024</v>
      </c>
      <c r="E41" s="4" t="inlineStr">
        <is>
          <t>Chronic Diseases Prediction Using Machine Learning With Data Preprocessing Handling: A Critical Review</t>
        </is>
      </c>
      <c r="F41" s="4" t="inlineStr">
        <is>
          <t>IEEE Access, 12:80698-80730</t>
        </is>
      </c>
      <c r="G41" s="4" t="inlineStr">
        <is>
          <t>10.1109/ACCESS.2024.3406748</t>
        </is>
      </c>
      <c r="H41" s="4" t="inlineStr">
        <is>
          <t>Open access</t>
        </is>
      </c>
      <c r="I41" s="4" t="inlineStr">
        <is>
          <t>papers/37_Ramadhan2024.pdf</t>
        </is>
      </c>
      <c r="J41" s="4" t="inlineStr">
        <is>
          <t>Memetakan studi prediksi penyakit kronis dengan ML beserta penanganan lima masalah data.</t>
        </is>
      </c>
      <c r="K41" s="4" t="inlineStr">
        <is>
          <t>Belum ada survei yang membahas prediksi penyakit kronis sekaligus kualitas datanya.</t>
        </is>
      </c>
      <c r="L41" s="4" t="inlineStr">
        <is>
          <t>Peta metode ML dan penanganan masalah data 2020-2022; celah riset.</t>
        </is>
      </c>
      <c r="M41" s="4" t="inlineStr">
        <is>
          <t>Penyakit kronis (diabetes, stroke, kanker, jantung, ginjal, hipertensi)</t>
        </is>
      </c>
      <c r="N41" s="4" t="inlineStr">
        <is>
          <t>SLR: Scopus 2010-2022</t>
        </is>
      </c>
      <c r="O41" s="4" t="inlineStr">
        <is>
          <t>182 paper, 4 RQ</t>
        </is>
      </c>
      <c r="P41" s="4" t="inlineStr">
        <is>
          <t>Review: missing (mean/median/KNN/hapus baris), outlier (IQR), normalisasi</t>
        </is>
      </c>
      <c r="Q41" s="4" t="inlineStr">
        <is>
          <t>Review: SMOTE, ADASYN, ROS, SMOTE-Tomek, GAN, RUS, NearMiss</t>
        </is>
      </c>
      <c r="R41" s="4" t="inlineStr">
        <is>
          <t>Review: filter, wrapper, embedded</t>
        </is>
      </c>
      <c r="S41" s="4" t="inlineStr">
        <is>
          <t>Review (tidak ada model baru)</t>
        </is>
      </c>
      <c r="T41" s="4" t="inlineStr">
        <is>
          <t>Data extraction form + quality assessment</t>
        </is>
      </c>
      <c r="U41" s="4" t="inlineStr">
        <is>
          <t>Frekuensi studi</t>
        </is>
      </c>
      <c r="V41" s="4" t="inlineStr">
        <is>
          <t>Masalah data paling sering: imbalance &gt; fitur &gt; missing &gt; outlier &gt; normalisasi; sebagian studi balancing sebelum split</t>
        </is>
      </c>
      <c r="W41" s="4" t="inlineStr">
        <is>
          <t>Tidak ada</t>
        </is>
      </c>
      <c r="X41" s="4" t="inlineStr">
        <is>
          <t>Cakupan hanya sampai 2022; satu database; campur banyak penyakit; ada erratum; tanpa meta-analisis</t>
        </is>
      </c>
      <c r="Y41" s="4" t="inlineStr">
        <is>
          <t>Penanganan data sering tidak dilaporkan lengkap.</t>
        </is>
      </c>
      <c r="Z41" s="4" t="inlineStr">
        <is>
          <t>Sedang-tinggi: kerangka SLR dan peta metode preprocessing.</t>
        </is>
      </c>
      <c r="AA41" s="4" t="inlineStr">
        <is>
          <t>Full text</t>
        </is>
      </c>
    </row>
    <row r="42">
      <c r="A42" s="5" t="n">
        <v>38</v>
      </c>
      <c r="B42" s="5" t="inlineStr">
        <is>
          <t>Ginjal (DKD)</t>
        </is>
      </c>
      <c r="C42" s="5" t="inlineStr">
        <is>
          <t>Nayak S, Amin A, Reghunath SR, Thunga G, Acharya LD, Shivashankara KN, Attur RP, Acharya S</t>
        </is>
      </c>
      <c r="D42" s="5" t="n">
        <v>2024</v>
      </c>
      <c r="E42" s="5" t="inlineStr">
        <is>
          <t>Development of a machine learning-based model for the prediction and progression of diabetic kidney disease: A single centred retrospective study</t>
        </is>
      </c>
      <c r="F42" s="5" t="inlineStr">
        <is>
          <t>International Journal of Medical Informatics, 190:105546</t>
        </is>
      </c>
      <c r="G42" s="5" t="inlineStr">
        <is>
          <t>10.1016/j.ijmedinf.2024.105546</t>
        </is>
      </c>
      <c r="H42" s="5" t="inlineStr">
        <is>
          <t>Open access</t>
        </is>
      </c>
      <c r="I42" s="5" t="inlineStr">
        <is>
          <t>papers/38_Nayak2024.pdf</t>
        </is>
      </c>
      <c r="J42" s="5" t="inlineStr">
        <is>
          <t>Model ML untuk stadium dan progresi DKD (stadium 1-5) dan regresi eGFR.</t>
        </is>
      </c>
      <c r="K42" s="5" t="inlineStr">
        <is>
          <t>Model DKD sebelumnya fokus onset, bukan stadium dan progresi; kurang explainability.</t>
        </is>
      </c>
      <c r="L42" s="5" t="inlineStr">
        <is>
          <t>Klasifikasi 5 stadium + regresi eGFR, optimasi Bayesian, SHAP dan LIME.</t>
        </is>
      </c>
      <c r="M42" s="5" t="inlineStr">
        <is>
          <t>Stadium DKD 1-5; eGFR</t>
        </is>
      </c>
      <c r="N42" s="5" t="inlineStr">
        <is>
          <t>RS tersier India Selatan 2017-2022</t>
        </is>
      </c>
      <c r="O42" s="5" t="inlineStr">
        <is>
          <t>227 pasien, 93 variabel awal</t>
        </is>
      </c>
      <c r="P42" s="5" t="inlineStr">
        <is>
          <t>Fitur missing &gt;50% dibuang; eGFR/kreatinin dikeluarkan dari klasifikasi; imputasi median per-stadium (memakai label); scaling; one-hot</t>
        </is>
      </c>
      <c r="Q42" s="5" t="inlineStr">
        <is>
          <t>SMOTETomek hanya pada training</t>
        </is>
      </c>
      <c r="R42" s="5" t="inlineStr">
        <is>
          <t>RFE top 15/10 + VIF&lt;5</t>
        </is>
      </c>
      <c r="S42" s="5" t="inlineStr">
        <is>
          <t>SVM, RF, XGBoost (Bayesian tuning); regresi Linear, RF, GBR</t>
        </is>
      </c>
      <c r="T42" s="5" t="inlineStr">
        <is>
          <t>Hold-out acak 80/20, tanpa CV</t>
        </is>
      </c>
      <c r="U42" s="5" t="inlineStr">
        <is>
          <t>Akurasi, F1, kappa, AUC-PR, AUROC; R2, MAE, RMSE</t>
        </is>
      </c>
      <c r="V42" s="5" t="inlineStr">
        <is>
          <t>XGBoost akurasi 88,75%, AUC 0,97; RF 83,75%; SVM 66,25%; GBR eGFR R2 0,97</t>
        </is>
      </c>
      <c r="W42" s="5" t="inlineStr">
        <is>
          <t>SHAP dan LIME: urea, asam urat, fosfor, RBC</t>
        </is>
      </c>
      <c r="X42" s="5" t="inlineStr">
        <is>
          <t>Imputasi median per-stadium memakai label (target leakage) dan RFE sebelum split; n kecil dan test ~45 pasien sehingga spesifisitas 100% tidak bermakna; regresi eGFR memakai kreatinin (tautologi); progresi tidak dimodelkan longitudinal</t>
        </is>
      </c>
      <c r="Y42" s="5" t="inlineStr">
        <is>
          <t>XGBoost terbaik untuk stadium DKD, dengan catatan leakage.</t>
        </is>
      </c>
      <c r="Z42" s="5" t="inlineStr">
        <is>
          <t>Sedang-tinggi: nefropati tabular dengan missing banyak; contoh pelanggaran urutan preprocessing.</t>
        </is>
      </c>
      <c r="AA42" s="5" t="inlineStr">
        <is>
          <t>Full text</t>
        </is>
      </c>
    </row>
    <row r="43">
      <c r="A43" s="4" t="n">
        <v>39</v>
      </c>
      <c r="B43" s="4" t="inlineStr">
        <is>
          <t>Retinopati (DR)</t>
        </is>
      </c>
      <c r="C43" s="4" t="inlineStr">
        <is>
          <t>Luong ML, Cheung T, McMurtry J, Nelson N, Najac M, Ortiz A, Aronoff D, Henderer J, Zhang X</t>
        </is>
      </c>
      <c r="D43" s="4" t="n">
        <v>2025</v>
      </c>
      <c r="E43" s="4" t="inlineStr">
        <is>
          <t>Comparison of Machine Learning Models to a Novel Score in the Identification of Patients at Low Risk for Diabetic Retinopathy</t>
        </is>
      </c>
      <c r="F43" s="4" t="inlineStr">
        <is>
          <t>Ophthalmology Science, 5(1):100592</t>
        </is>
      </c>
      <c r="G43" s="4" t="inlineStr">
        <is>
          <t>10.1016/j.xops.2024.100592</t>
        </is>
      </c>
      <c r="H43" s="4" t="inlineStr">
        <is>
          <t>Open access</t>
        </is>
      </c>
      <c r="I43" s="4" t="inlineStr">
        <is>
          <t>papers/39_Luong2025.pdf</t>
        </is>
      </c>
      <c r="J43" s="4" t="inlineStr">
        <is>
          <t>Prediktor sederhana pasien risiko rendah DR; bandingkan 5 model ML dengan skor RRS = HbA1c x lama diabetes.</t>
        </is>
      </c>
      <c r="K43" s="4" t="inlineStr">
        <is>
          <t>Model ML DR butuh banyak variabel dan aplikasi; skrining tahunan semua pasien mahal.</t>
        </is>
      </c>
      <c r="L43" s="4" t="inlineStr">
        <is>
          <t>RRS yang mudah dihitung; perbandingan dengan 5 MLM (uji DeLong).</t>
        </is>
      </c>
      <c r="M43" s="4" t="inlineStr">
        <is>
          <t>DR (ICDR &gt;1, 19%)</t>
        </is>
      </c>
      <c r="N43" s="4" t="inlineStr">
        <is>
          <t>EMR Temple University Health System, telemedis retina 2016-2020</t>
        </is>
      </c>
      <c r="O43" s="4" t="inlineStr">
        <is>
          <t>1.590 subjek evaluable, 30 fitur awal</t>
        </is>
      </c>
      <c r="P43" s="4" t="inlineStr">
        <is>
          <t>Missing &gt;50% dibuang; near-zero variance; korelasi r&gt;0,85; MICE (PMM) pada seluruh data sebelum split</t>
        </is>
      </c>
      <c r="Q43" s="4" t="inlineStr">
        <is>
          <t>Tidak ditangani; split stratified 2/3 : 1/3</t>
        </is>
      </c>
      <c r="R43" s="4" t="inlineStr">
        <is>
          <t>Univariat (P&lt;0,1) menjadi 16 variabel</t>
        </is>
      </c>
      <c r="S43" s="4" t="inlineStr">
        <is>
          <t>LR, SVM-RBF, RPART, RF, GBM</t>
        </is>
      </c>
      <c r="T43" s="4" t="inlineStr">
        <is>
          <t>10-fold CV di train + test 540 (internal)</t>
        </is>
      </c>
      <c r="U43" s="4" t="inlineStr">
        <is>
          <t>AUC (DeLong), sensitivitas, spesifisitas, error rate low-risk</t>
        </is>
      </c>
      <c r="V43" s="4" t="inlineStr">
        <is>
          <t>Test AUC GBM 0,786, RF 0,774, LR 0,750, RRS 0,733 (RRS tidak beda signifikan dari 4 dari 5 MLM)</t>
        </is>
      </c>
      <c r="W43" s="4" t="inlineStr">
        <is>
          <t>Skor sederhana RRS</t>
        </is>
      </c>
      <c r="X43" s="4" t="inlineStr">
        <is>
          <t>MICE dan seleksi fitur memakai seluruh data termasuk test; threshold RRS dioptimalkan di train tetapi threshold MLM di test; pasien duplikat antar kunjungan; durasi DM 33% imputasi dari kuesioner; AUC hanya 0,73-0,79 dengan spesifisitas rendah</t>
        </is>
      </c>
      <c r="Y43" s="4" t="inlineStr">
        <is>
          <t>Skor sederhana setara ML untuk identifikasi risiko rendah.</t>
        </is>
      </c>
      <c r="Z43" s="4" t="inlineStr">
        <is>
          <t>Tinggi: data tabular retinopati; model sederhana vs ML; contoh imputasi sebelum split.</t>
        </is>
      </c>
      <c r="AA43" s="4" t="inlineStr">
        <is>
          <t>Full text</t>
        </is>
      </c>
    </row>
    <row r="44">
      <c r="A44" s="5" t="n">
        <v>40</v>
      </c>
      <c r="B44" s="5" t="inlineStr">
        <is>
          <t>Ginjal (DKD)</t>
        </is>
      </c>
      <c r="C44" s="5" t="inlineStr">
        <is>
          <t>Wen Y, Wan C, Ren Y, Wang X, Wang W</t>
        </is>
      </c>
      <c r="D44" s="5" t="n">
        <v>2025</v>
      </c>
      <c r="E44" s="5" t="inlineStr">
        <is>
          <t>Interpretable Machine Learning Model for Predicting and Assessing the Risk of Diabetic Nephropathy: Prediction Model Study</t>
        </is>
      </c>
      <c r="F44" s="5" t="inlineStr">
        <is>
          <t>JMIR Medical Informatics, 13:e64979</t>
        </is>
      </c>
      <c r="G44" s="5" t="inlineStr">
        <is>
          <t>10.2196/64979</t>
        </is>
      </c>
      <c r="H44" s="5" t="inlineStr">
        <is>
          <t>Open access</t>
        </is>
      </c>
      <c r="I44" s="5" t="inlineStr">
        <is>
          <t>papers/40_Wen2025.pdf</t>
        </is>
      </c>
      <c r="J44" s="5" t="inlineStr">
        <is>
          <t>Model ML interpretable untuk prediksi diabetic nephropathy (DN) pada T2DM dengan LIME dan SHAP.</t>
        </is>
      </c>
      <c r="K44" s="5" t="inlineStr">
        <is>
          <t>Diagnosis DN kurang sensitif untuk deteksi dini; model ML sulit diinterpretasi.</t>
        </is>
      </c>
      <c r="L44" s="5" t="inlineStr">
        <is>
          <t>Perbandingan 6 model tree/boosting, LASSO, ROC + PR + DCA + kalibrasi, LIME dan SHAP.</t>
        </is>
      </c>
      <c r="M44" s="5" t="inlineStr">
        <is>
          <t>DN (444 DN, 556 non-DN)</t>
        </is>
      </c>
      <c r="N44" s="5" t="inlineStr">
        <is>
          <t>Diabetes Complications Dataset, National Population Health Data Center (Tiongkok), sejenis paper no. 1</t>
        </is>
      </c>
      <c r="O44" s="5" t="inlineStr">
        <is>
          <t>1.000 pasien T2DM, 87 fitur</t>
        </is>
      </c>
      <c r="P44" s="5" t="inlineStr">
        <is>
          <t>Fitur missing &gt;75% dibuang; multiple imputation iteratif; tanpa normalisasi</t>
        </is>
      </c>
      <c r="Q44" s="5" t="inlineStr">
        <is>
          <t>SMOTE walau rasio 4:5</t>
        </is>
      </c>
      <c r="R44" s="5" t="inlineStr">
        <is>
          <t>Uji univariat (P&lt;0,001) + LASSO menjadi 24 fitur</t>
        </is>
      </c>
      <c r="S44" s="5" t="inlineStr">
        <is>
          <t>DT, RF, Extra Trees, AdaBoost, XGBoost, LightGBM; grid search</t>
        </is>
      </c>
      <c r="T44" s="5" t="inlineStr">
        <is>
          <t>10-fold CV (tanpa hold-out dan validasi eksternal)</t>
        </is>
      </c>
      <c r="U44" s="5" t="inlineStr">
        <is>
          <t>Akurasi, precision, recall, F1, specificity, AUC, PR-AUC, DCA, kalibrasi</t>
        </is>
      </c>
      <c r="V44" s="5" t="inlineStr">
        <is>
          <t>XGBoost akurasi 86,87%, recall 84,40%, AUC 0,93; LightGBM 86,78%</t>
        </is>
      </c>
      <c r="W44" s="5" t="inlineStr">
        <is>
          <t>SHAP dan LIME: rasio albumin-kreatinin, kreatinin, albumin</t>
        </is>
      </c>
      <c r="X44" s="5" t="inlineStr">
        <is>
          <t>Renal_Failure dan rasio albumin-kreatinin adalah penanda yang mendefinisikan DN (leakage klinis); retinopati dipakai sebagai prediktor; SMOTE tidak diperlukan dan urutannya terhadap CV tidak jelas; imputasi sebelum CV; satu dataset tanpa validasi eksternal</t>
        </is>
      </c>
      <c r="Y44" s="5" t="inlineStr">
        <is>
          <t>XGBoost dan LightGBM terbaik untuk DN.</t>
        </is>
      </c>
      <c r="Z44" s="5" t="inlineStr">
        <is>
          <t>Sangat tinggi: dataset China jenis sama dengan paper no. 1 dan mirip Zenodo (panel lab, banyak missing).</t>
        </is>
      </c>
      <c r="AA44" s="5" t="inlineStr">
        <is>
          <t>Full text</t>
        </is>
      </c>
    </row>
  </sheetData>
  <autoFilter ref="A4:AA44"/>
  <mergeCells count="2">
    <mergeCell ref="A1:AA1"/>
    <mergeCell ref="A2:A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0" customWidth="1" min="3" max="3"/>
  </cols>
  <sheetData>
    <row r="1">
      <c r="A1" s="6" t="inlineStr">
        <is>
          <t>Rekap frekuensi teknik di 40 paper (rumus COUNTIF ke sheet 'Tabel Review')</t>
        </is>
      </c>
    </row>
    <row r="3">
      <c r="A3" s="7" t="inlineStr">
        <is>
          <t>Aspek / Teknik</t>
        </is>
      </c>
      <c r="B3" s="7" t="inlineStr">
        <is>
          <t>Jumlah Paper</t>
        </is>
      </c>
      <c r="C3" s="7" t="inlineStr">
        <is>
          <t>Kolom Sumber</t>
        </is>
      </c>
    </row>
    <row r="4">
      <c r="A4" s="8" t="inlineStr">
        <is>
          <t>Kategori: Retinopati (DR)</t>
        </is>
      </c>
      <c r="B4" s="8">
        <f>COUNTIF('Tabel Review'!$B$5:$B$44,"*Retinopati*")</f>
        <v/>
      </c>
      <c r="C4" s="9" t="inlineStr">
        <is>
          <t>Kategori</t>
        </is>
      </c>
    </row>
    <row r="5">
      <c r="A5" s="8" t="inlineStr">
        <is>
          <t>Kategori: Ginjal (DKD)</t>
        </is>
      </c>
      <c r="B5" s="8">
        <f>COUNTIF('Tabel Review'!$B$5:$B$44,"*Ginjal*")</f>
        <v/>
      </c>
      <c r="C5" s="9" t="inlineStr">
        <is>
          <t>Kategori</t>
        </is>
      </c>
    </row>
    <row r="6">
      <c r="A6" s="8" t="inlineStr">
        <is>
          <t>Kategori: Neuropati (DPN)</t>
        </is>
      </c>
      <c r="B6" s="8">
        <f>COUNTIF('Tabel Review'!$B$5:$B$44,"*Neuropati*")</f>
        <v/>
      </c>
      <c r="C6" s="9" t="inlineStr">
        <is>
          <t>Kategori</t>
        </is>
      </c>
    </row>
    <row r="7">
      <c r="A7" s="8" t="inlineStr">
        <is>
          <t>Kategori: Vaskular (PVD)</t>
        </is>
      </c>
      <c r="B7" s="8">
        <f>COUNTIF('Tabel Review'!$B$5:$B$44,"*Vaskular*")</f>
        <v/>
      </c>
      <c r="C7" s="9" t="inlineStr">
        <is>
          <t>Kategori</t>
        </is>
      </c>
    </row>
    <row r="8">
      <c r="A8" s="8" t="inlineStr">
        <is>
          <t>Kategori: Multi-komplikasi</t>
        </is>
      </c>
      <c r="B8" s="8">
        <f>COUNTIF('Tabel Review'!$B$5:$B$44,"*Multi*")</f>
        <v/>
      </c>
      <c r="C8" s="9" t="inlineStr">
        <is>
          <t>Kategori</t>
        </is>
      </c>
    </row>
    <row r="9">
      <c r="A9" s="8" t="inlineStr">
        <is>
          <t>Kategori: Preprocessing</t>
        </is>
      </c>
      <c r="B9" s="8">
        <f>COUNTIF('Tabel Review'!$B$5:$B$44,"Preprocessing*")</f>
        <v/>
      </c>
      <c r="C9" s="9" t="inlineStr">
        <is>
          <t>Kategori</t>
        </is>
      </c>
    </row>
    <row r="10">
      <c r="A10" s="8" t="inlineStr">
        <is>
          <t>Kategori: Diagnosis / prediabetes</t>
        </is>
      </c>
      <c r="B10" s="8">
        <f>COUNTIF('Tabel Review'!$B$5:$B$44,"Diagnosis*")</f>
        <v/>
      </c>
      <c r="C10" s="9" t="inlineStr">
        <is>
          <t>Kategori</t>
        </is>
      </c>
    </row>
    <row r="11">
      <c r="A11" s="8" t="inlineStr">
        <is>
          <t>Kategori: Readmisi / akut</t>
        </is>
      </c>
      <c r="B11" s="8">
        <f>COUNTIF('Tabel Review'!$B$5:$B$44,"Readmisi*")</f>
        <v/>
      </c>
      <c r="C11" s="9" t="inlineStr">
        <is>
          <t>Kategori</t>
        </is>
      </c>
    </row>
    <row r="12">
      <c r="A12" s="8" t="inlineStr">
        <is>
          <t>Kategori: Survei / SLR</t>
        </is>
      </c>
      <c r="B12" s="8">
        <f>COUNTIF('Tabel Review'!$B$5:$B$44,"Survei*")</f>
        <v/>
      </c>
      <c r="C12" s="9" t="inlineStr">
        <is>
          <t>Kategori</t>
        </is>
      </c>
    </row>
    <row r="13">
      <c r="A13" s="8" t="inlineStr">
        <is>
          <t>Imputasi MICE / multiple imputation</t>
        </is>
      </c>
      <c r="B13" s="8">
        <f>COUNTIF('Tabel Review'!$P$5:$P$44,"*MICE*")</f>
        <v/>
      </c>
      <c r="C13" s="9" t="inlineStr">
        <is>
          <t>Preprocessing (Missing / Outlier / Scaling)</t>
        </is>
      </c>
    </row>
    <row r="14">
      <c r="A14" s="8" t="inlineStr">
        <is>
          <t>Imputasi mean / modus</t>
        </is>
      </c>
      <c r="B14" s="8">
        <f>COUNTIF('Tabel Review'!$P$5:$P$44,"*mean*")</f>
        <v/>
      </c>
      <c r="C14" s="9" t="inlineStr">
        <is>
          <t>Preprocessing (Missing / Outlier / Scaling)</t>
        </is>
      </c>
    </row>
    <row r="15">
      <c r="A15" s="8" t="inlineStr">
        <is>
          <t>Imputasi KNN</t>
        </is>
      </c>
      <c r="B15" s="8">
        <f>COUNTIF('Tabel Review'!$P$5:$P$44,"*KNN*")</f>
        <v/>
      </c>
      <c r="C15" s="9" t="inlineStr">
        <is>
          <t>Preprocessing (Missing / Outlier / Scaling)</t>
        </is>
      </c>
    </row>
    <row r="16">
      <c r="A16" s="8" t="inlineStr">
        <is>
          <t>Imputasi MissForest</t>
        </is>
      </c>
      <c r="B16" s="8">
        <f>COUNTIF('Tabel Review'!$P$5:$P$44,"*MissForest*")</f>
        <v/>
      </c>
      <c r="C16" s="9" t="inlineStr">
        <is>
          <t>Preprocessing (Missing / Outlier / Scaling)</t>
        </is>
      </c>
    </row>
    <row r="17">
      <c r="A17" s="8" t="inlineStr">
        <is>
          <t>Pasien dengan missing dikeluarkan</t>
        </is>
      </c>
      <c r="B17" s="8">
        <f>COUNTIF('Tabel Review'!$P$5:$P$44,"*kelua*")</f>
        <v/>
      </c>
      <c r="C17" s="9" t="inlineStr">
        <is>
          <t>Preprocessing (Missing / Outlier / Scaling)</t>
        </is>
      </c>
    </row>
    <row r="18">
      <c r="A18" s="8" t="inlineStr">
        <is>
          <t>Imbalance: SMOTE / variannya</t>
        </is>
      </c>
      <c r="B18" s="8">
        <f>COUNTIF('Tabel Review'!$Q$5:$Q$44,"*SMOTE*")</f>
        <v/>
      </c>
      <c r="C18" s="9" t="inlineStr">
        <is>
          <t>Penanganan Imbalance</t>
        </is>
      </c>
    </row>
    <row r="19">
      <c r="A19" s="8" t="inlineStr">
        <is>
          <t>Imbalance: undersampling</t>
        </is>
      </c>
      <c r="B19" s="8">
        <f>COUNTIF('Tabel Review'!$Q$5:$Q$44,"*undersampling*")</f>
        <v/>
      </c>
      <c r="C19" s="9" t="inlineStr">
        <is>
          <t>Penanganan Imbalance</t>
        </is>
      </c>
    </row>
    <row r="20">
      <c r="A20" s="8" t="inlineStr">
        <is>
          <t>Imbalance: downsampling</t>
        </is>
      </c>
      <c r="B20" s="8">
        <f>COUNTIF('Tabel Review'!$Q$5:$Q$44,"*downsampling*")</f>
        <v/>
      </c>
      <c r="C20" s="9" t="inlineStr">
        <is>
          <t>Penanganan Imbalance</t>
        </is>
      </c>
    </row>
    <row r="21">
      <c r="A21" s="8" t="inlineStr">
        <is>
          <t>Seleksi fitur: RFE / RFECV</t>
        </is>
      </c>
      <c r="B21" s="8">
        <f>COUNTIF('Tabel Review'!$R$5:$R$44,"*RFE*")</f>
        <v/>
      </c>
      <c r="C21" s="9" t="inlineStr">
        <is>
          <t>Seleksi Fitur</t>
        </is>
      </c>
    </row>
    <row r="22">
      <c r="A22" s="8" t="inlineStr">
        <is>
          <t>Seleksi fitur: LASSO</t>
        </is>
      </c>
      <c r="B22" s="8">
        <f>COUNTIF('Tabel Review'!$R$5:$R$44,"*LASSO*")</f>
        <v/>
      </c>
      <c r="C22" s="9" t="inlineStr">
        <is>
          <t>Seleksi Fitur</t>
        </is>
      </c>
    </row>
    <row r="23">
      <c r="A23" s="8" t="inlineStr">
        <is>
          <t>Seleksi fitur: Boruta</t>
        </is>
      </c>
      <c r="B23" s="8">
        <f>COUNTIF('Tabel Review'!$R$5:$R$44,"*Boruta*")</f>
        <v/>
      </c>
      <c r="C23" s="9" t="inlineStr">
        <is>
          <t>Seleksi Fitur</t>
        </is>
      </c>
    </row>
    <row r="24">
      <c r="A24" s="8" t="inlineStr">
        <is>
          <t>Model diuji: XGBoost</t>
        </is>
      </c>
      <c r="B24" s="8">
        <f>COUNTIF('Tabel Review'!$S$5:$S$44,"*XGB*")</f>
        <v/>
      </c>
      <c r="C24" s="9" t="inlineStr">
        <is>
          <t>Model</t>
        </is>
      </c>
    </row>
    <row r="25">
      <c r="A25" s="8" t="inlineStr">
        <is>
          <t>Model diuji: Random Forest</t>
        </is>
      </c>
      <c r="B25" s="8">
        <f>COUNTIF('Tabel Review'!$S$5:$S$44,"*RF*")</f>
        <v/>
      </c>
      <c r="C25" s="9" t="inlineStr">
        <is>
          <t>Model</t>
        </is>
      </c>
    </row>
    <row r="26">
      <c r="A26" s="8" t="inlineStr">
        <is>
          <t>Interpretabilitas: SHAP</t>
        </is>
      </c>
      <c r="B26" s="8">
        <f>COUNTIF('Tabel Review'!$W$5:$W$44,"*SHAP*")</f>
        <v/>
      </c>
      <c r="C26" s="9" t="inlineStr">
        <is>
          <t>Interpretabilitas</t>
        </is>
      </c>
    </row>
    <row r="27">
      <c r="A27" s="8" t="inlineStr">
        <is>
          <t>Interpretabilitas: Nomogram</t>
        </is>
      </c>
      <c r="B27" s="8">
        <f>COUNTIF('Tabel Review'!$W$5:$W$44,"*omogram*")</f>
        <v/>
      </c>
      <c r="C27" s="9" t="inlineStr">
        <is>
          <t>Interpretabilitas</t>
        </is>
      </c>
    </row>
    <row r="28">
      <c r="A28" s="8" t="inlineStr">
        <is>
          <t>Validasi: K-fold CV</t>
        </is>
      </c>
      <c r="B28" s="8">
        <f>COUNTIF('Tabel Review'!$T$5:$T$44,"*CV*")</f>
        <v/>
      </c>
      <c r="C28" s="9" t="inlineStr">
        <is>
          <t>Skema Validasi</t>
        </is>
      </c>
    </row>
    <row r="29">
      <c r="A29" s="8" t="inlineStr">
        <is>
          <t>Validasi: eksternal (RS lain)</t>
        </is>
      </c>
      <c r="B29" s="8">
        <f>COUNTIF('Tabel Review'!$T$5:$T$44,"*+ validasi eksternal*")</f>
        <v/>
      </c>
      <c r="C29" s="9" t="inlineStr">
        <is>
          <t>Skema Validasi</t>
        </is>
      </c>
    </row>
    <row r="30">
      <c r="A30" s="8" t="inlineStr">
        <is>
          <t>Data dari Tiongkok</t>
        </is>
      </c>
      <c r="B30" s="8">
        <f>COUNTIF('Tabel Review'!$N$5:$N$44,"*Tiongkok*")</f>
        <v/>
      </c>
      <c r="C30" s="9" t="inlineStr">
        <is>
          <t>Sumber Data</t>
        </is>
      </c>
    </row>
    <row r="31">
      <c r="A31" s="10" t="inlineStr">
        <is>
          <t>Total paper</t>
        </is>
      </c>
      <c r="B31" s="10">
        <f>COUNTA('Tabel Review'!$A$5:$A$44)</f>
        <v/>
      </c>
    </row>
    <row r="33">
      <c r="A33" s="2" t="inlineStr">
        <is>
          <t>Catatan: hitungan berbasis pencocokan kata kunci, jadi periksa ulang jika isi tabel diubah.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2026-10-19T16:06:11Z</dcterms:created>
  <dcterms:modified xmlns:dcterms="http://purl.org/dc/terms/" xmlns:xsi="http://www.w3.org/2001/XMLSchema-instance" xsi:type="dcterms:W3CDTF">2026-10-19T16:06:11Z</dcterms:modified>
</cp:coreProperties>
</file>