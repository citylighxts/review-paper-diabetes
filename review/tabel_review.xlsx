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Tabel Review" sheetId="1" state="visible" r:id="rId3"/>
    <sheet name="Rekap Metode" sheetId="2" state="visible" r:id="rId4"/>
  </sheets>
  <definedNames>
    <definedName function="false" hidden="true" localSheetId="0" name="_xlnm._FilterDatabase" vbProcedure="false">'Tabel Review'!$A$4:$AA$24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<sst xmlns="http://schemas.openxmlformats.org/spreadsheetml/2006/main" count="583" uniqueCount="503">
  <si>
    <t xml:space="preserve">Tabel Review 20 Paper: Metode Pengolahan Dataset Diabetes dan Komplikasinya (2023-2026)</t>
  </si>
  <si>
    <t xml:space="preserve">Semua isi diekstrak dari full text. Kolom mengikuti data extraction form Kitchenham &amp; Charters (2007) yang disesuaikan dengan checklist CHARMS untuk studi model prediksi.</t>
  </si>
  <si>
    <t xml:space="preserve">No</t>
  </si>
  <si>
    <t xml:space="preserve">Kategori</t>
  </si>
  <si>
    <t xml:space="preserve">Penulis</t>
  </si>
  <si>
    <t xml:space="preserve">Tahun</t>
  </si>
  <si>
    <t xml:space="preserve">Judul</t>
  </si>
  <si>
    <t xml:space="preserve">Jurnal</t>
  </si>
  <si>
    <t xml:space="preserve">DOI</t>
  </si>
  <si>
    <t xml:space="preserve">Lisensi</t>
  </si>
  <si>
    <t xml:space="preserve">File PDF</t>
  </si>
  <si>
    <t xml:space="preserve">Tujuan Penelitian</t>
  </si>
  <si>
    <t xml:space="preserve">Gap Penelitian</t>
  </si>
  <si>
    <t xml:space="preserve">Kontribusi</t>
  </si>
  <si>
    <t xml:space="preserve">Target / Outcome</t>
  </si>
  <si>
    <t xml:space="preserve">Sumber Data</t>
  </si>
  <si>
    <t xml:space="preserve">Jumlah Sampel</t>
  </si>
  <si>
    <t xml:space="preserve">Preprocessing (Missing / Outlier / Scaling)</t>
  </si>
  <si>
    <t xml:space="preserve">Penanganan Imbalance</t>
  </si>
  <si>
    <t xml:space="preserve">Seleksi Fitur</t>
  </si>
  <si>
    <t xml:space="preserve">Model</t>
  </si>
  <si>
    <t xml:space="preserve">Skema Validasi</t>
  </si>
  <si>
    <t xml:space="preserve">Metrik</t>
  </si>
  <si>
    <t xml:space="preserve">Hasil Utama</t>
  </si>
  <si>
    <t xml:space="preserve">Interpretabilitas</t>
  </si>
  <si>
    <t xml:space="preserve">Keterbatasan (penulis + catatan reviewer)</t>
  </si>
  <si>
    <t xml:space="preserve">Kesimpulan</t>
  </si>
  <si>
    <t xml:space="preserve">Relevansi ke Dataset Zenodo</t>
  </si>
  <si>
    <t xml:space="preserve">Verifikasi</t>
  </si>
  <si>
    <t xml:space="preserve">Retinopati (DR)</t>
  </si>
  <si>
    <t xml:space="preserve">Wang X, Shen P, Zhao G, Li J, Zhu Y, Li Y, Xu H, Liu J, Cui R</t>
  </si>
  <si>
    <t xml:space="preserve">An enhanced machine learning algorithm for type 2 diabetes prognosis with a detailed examination of key correlates</t>
  </si>
  <si>
    <t xml:space="preserve">Scientific Reports, 14</t>
  </si>
  <si>
    <t xml:space="preserve">10.1038/s41598-024-75898-w</t>
  </si>
  <si>
    <t xml:space="preserve">CC BY 4.0</t>
  </si>
  <si>
    <t xml:space="preserve">papers/01_Wang2024.pdf</t>
  </si>
  <si>
    <t xml:space="preserve">Membangun model prediksi DR berperforma tinggi pada T2DM dan mengidentifikasi korelat kuncinya, sekaligus membandingkan ML dengan regresi logistik.</t>
  </si>
  <si>
    <t xml:space="preserve">Statistik konvensional mudah underfit dan kurang mampu menangani banyak fitur; seleksi fitur, tuning, serta analisis efek dan interaksi fitur masih bisa ditingkatkan.</t>
  </si>
  <si>
    <t xml:space="preserve">RFECV untuk membuang fitur redundan; perbandingan 4 model ML yang di-tuning; klaim penggunaan pertama GBDT untuk DR; 6 korelat (AUC 0,867) vs 27 faktor LR (AUC 0,834).</t>
  </si>
  <si>
    <t xml:space="preserve">Klasifikasi biner DR vs non-DR</t>
  </si>
  <si>
    <t xml:space="preserve">Diabetes Complication Early Warning Dataset, PLA General Hospital (via National Population Health Science Data Center), Tiongkok, 2021</t>
  </si>
  <si>
    <t xml:space="preserve">3.000 (1.500 DR / 1.500 non-DR); 85 kandidat fitur dari 86 variabel</t>
  </si>
  <si>
    <t xml:space="preserve">52 dari 86 fitur memiliki missing; fitur dengan missing &gt;50% sebagian besar dibuang; imputasi modus (kategorikal) dan mean (kontinu); normalisasi Min-Max [0,1]</t>
  </si>
  <si>
    <t xml:space="preserve">Tidak perlu (kelas seimbang sejak desain)</t>
  </si>
  <si>
    <t xml:space="preserve">RFECV 3-fold, akhir 6 fitur: HbA1c, protein urin 24 jam, kreatinin serum, rasio albumin/kreatinin, urea, C-peptida</t>
  </si>
  <si>
    <t xml:space="preserve">LR (baseline), SVM, DT, RF, GBDT; tuning grid search + CV</t>
  </si>
  <si>
    <t xml:space="preserve">Split 50% train / 25% validasi / 25% test; tanpa validasi eksternal</t>
  </si>
  <si>
    <t xml:space="preserve">Accuracy, Precision, Recall, F1, AUC, ROC</t>
  </si>
  <si>
    <t xml:space="preserve">GBDT terbaik: Acc 0,788; Prec 0,830; Rec 0,754; F1 0,790; AUC 0,867. LR 27 faktor: Acc 0,773; AUC 0,834</t>
  </si>
  <si>
    <t xml:space="preserve">SHAP (swarm, violin, dependence, interaction); C-peptida protektif; ACR dan protein urin 24 jam menaikkan risiko; 6 pasangan interaksi fitur</t>
  </si>
  <si>
    <t xml:space="preserve">Sampel hanya pasien Tiongkok; imputasi mean menambah error; durasi diabetes tidak tersedia; analisis interaksi masih eksploratif. Catatan reviewer: tidak ada validasi eksternal walau judul subbab menyebutnya.</t>
  </si>
  <si>
    <t xml:space="preserve">GBDT dengan 6 faktor yang mudah dijelaskan lebih akurat daripada LR dengan 27 faktor.</t>
  </si>
  <si>
    <t xml:space="preserve">Sangat tinggi: data tabular RS Tiongkok dengan banyak variabel lab dan missing, target komplikasi; pipeline lengkap dari imputasi sampai SHAP.</t>
  </si>
  <si>
    <t xml:space="preserve">Full text</t>
  </si>
  <si>
    <t xml:space="preserve">Li B, Hu L, Zhang S, Li S, Tang W, Chen G</t>
  </si>
  <si>
    <t xml:space="preserve">The application and clinical translation of the self-evolving machine learning methods in predicting diabetic retinopathy and visualizing clinical transformation</t>
  </si>
  <si>
    <t xml:space="preserve">Frontiers in Endocrinology, 15:1429974</t>
  </si>
  <si>
    <t xml:space="preserve">10.3389/fendo.2024.1429974</t>
  </si>
  <si>
    <t xml:space="preserve">CC BY</t>
  </si>
  <si>
    <t xml:space="preserve">papers/02_Li2024.pdf</t>
  </si>
  <si>
    <t xml:space="preserve">Menilai ML self-evolving untuk prediksi DR dan membangun alat visualisasi risiko individual.</t>
  </si>
  <si>
    <t xml:space="preserve">Model prediksi DR sebelumnya mayoritas model linear tergeneralisasi; ML self-evolving belum jelas diterapkan pada DR.</t>
  </si>
  <si>
    <t xml:space="preserve">Improved Beetle Antennae Search (IBAS: inisialisasi chaos, mutasi distribusi-t adaptif, random walk); model IBAS-XGB; perangkat lunak visualisasi.</t>
  </si>
  <si>
    <t xml:space="preserve">Ganzhou People's Hospital, Tiongkok, Jan 2022 - Okt 2023 (satu RS)</t>
  </si>
  <si>
    <t xml:space="preserve">300 (150 DR / 150 non-DR); 19 kandidat variabel</t>
  </si>
  <si>
    <t xml:space="preserve">Normalisasi Z-score; hanya pasien dengan data lengkap</t>
  </si>
  <si>
    <t xml:space="preserve">Tidak perlu (seimbang sejak desain)</t>
  </si>
  <si>
    <t xml:space="preserve">Uji univariat (P&lt;0,05) lalu regresi logistik multivariat, 8 prediktor</t>
  </si>
  <si>
    <t xml:space="preserve">LR, SVM, XGBoost (grid search) vs IBAS-XGB</t>
  </si>
  <si>
    <t xml:space="preserve">Split 80/20 (240/60) + 5-fold CV di training; tanpa validasi eksternal</t>
  </si>
  <si>
    <t xml:space="preserve">Precision, Sensitivity, Specificity, Accuracy, F1, ROC-AUC, PR-AUC</t>
  </si>
  <si>
    <t xml:space="preserve">IBAS-XGB terbaik: ROC-AUC 0,860; PR-AUC 0,883; Acc 0,850; F1 0,848. XGBoost 0,824; SVM 0,727; LR 0,652</t>
  </si>
  <si>
    <t xml:space="preserve">Odds ratio LR: jenis kelamin laki-laki (3,10), HbA1c (2,70), tekanan sistolik (2,67)</t>
  </si>
  <si>
    <t xml:space="preserve">Retrospektif, satu RS, sampel kecil (test hanya 60), biaya komputasi IBAS tinggi; tidak ada uji statistik antar model.</t>
  </si>
  <si>
    <t xml:space="preserve">ML self-evolving membantu identifikasi fitur DR dan prediksi dini; perlu validasi multisenter.</t>
  </si>
  <si>
    <t xml:space="preserve">Sedang: ide tuning hyperparameter metaheuristik, tapi sampel kecil.</t>
  </si>
  <si>
    <t xml:space="preserve">Liu X, Wu S, Yang Y, Li Y, Zhang X, Liu R, Qin L, Li F</t>
  </si>
  <si>
    <t xml:space="preserve">Development of machine learning predictive model for type 2 diabetic retinopathy using the triglyceride-glucose index explained by SHAP method</t>
  </si>
  <si>
    <t xml:space="preserve">Frontiers in Endocrinology, 16:1631647</t>
  </si>
  <si>
    <t xml:space="preserve">10.3389/fendo.2025.1631647</t>
  </si>
  <si>
    <t xml:space="preserve">papers/03_Liu2025.pdf</t>
  </si>
  <si>
    <t xml:space="preserve">Membangun model prediksi DR dengan indeks TyG sebagai prediktor baru dan menjelaskannya dengan SHAP.</t>
  </si>
  <si>
    <t xml:space="preserve">Sedikit model DR yang memasukkan resistensi insulin; HOMA-IR butuh insulin puasa yang jarang tersedia di layanan primer.</t>
  </si>
  <si>
    <t xml:space="preserve">Model ML pertama untuk DR dengan TyG sebagai prediktor inti; validasi lintas RS kota dan kabupaten; interpretasi SHAP.</t>
  </si>
  <si>
    <t xml:space="preserve">First Hospital of Jilin University + Meihekou Central Hospital, Tiongkok, 2010-2023</t>
  </si>
  <si>
    <t xml:space="preserve">3.750 (1.392 DR / 2.358 non-DR); ukuran sampel minimal dihitung dengan metode Riley</t>
  </si>
  <si>
    <t xml:space="preserve">Buang pasien missing &gt;20%; buang variabel missing &gt;20% (C-peptida, insulin, CRP); imputasi mean dan modus; fitur turunan TyG = ln(TG x FPG / 2); VIF</t>
  </si>
  <si>
    <t xml:space="preserve">Tidak ada (rasio sekitar 37:63)</t>
  </si>
  <si>
    <t xml:space="preserve">Variabel P&lt;0,1 masuk RFECV, tersisa 9 fitur</t>
  </si>
  <si>
    <t xml:space="preserve">LR, DT, SVM, RF, XGBoost</t>
  </si>
  <si>
    <t xml:space="preserve">Split 7:3 + 5-fold CV</t>
  </si>
  <si>
    <t xml:space="preserve">Accuracy, Sensitivity, Specificity, Precision, F1, AUC</t>
  </si>
  <si>
    <t xml:space="preserve">LR dan SVM terbaik: AUC test 0,85; 5-fold CV LR 0,824 +/- 0,012, SVM 0,815 +/- 0,007</t>
  </si>
  <si>
    <t xml:space="preserve">SHAP (TreeExplainer) + PDP: TyG, terapi insulin, HbA1c, durasi DM, HDL; efek non-linear di TyG &gt; 4</t>
  </si>
  <si>
    <t xml:space="preserve">Validasi internal saja; imputasi mean/modus sederhana; stadium DR tidak dibedakan.</t>
  </si>
  <si>
    <t xml:space="preserve">TyG adalah prediktor murah dan berguna untuk skrining DR di layanan primer.</t>
  </si>
  <si>
    <t xml:space="preserve">Sangat tinggi: dataset Zenodo memiliki lipid, glukosa, dan insulin sehingga TyG bisa dihitung.</t>
  </si>
  <si>
    <t xml:space="preserve">Kim MS, Choi YW, Prakash BS, Lee Y, Lim S, Woo SJ</t>
  </si>
  <si>
    <t xml:space="preserve">A machine learning-based prediction of diabetic retinopathy using the Korea national health and nutrition examination survey (2008-2012, 2017-2021)</t>
  </si>
  <si>
    <t xml:space="preserve">Frontiers in Medicine, 12:1542860</t>
  </si>
  <si>
    <t xml:space="preserve">10.3389/fmed.2025.1542860</t>
  </si>
  <si>
    <t xml:space="preserve">papers/04_Kim2025.pdf</t>
  </si>
  <si>
    <t xml:space="preserve">Mengembangkan dan membandingkan algoritma ML untuk prediksi DR tanpa citra fundus.</t>
  </si>
  <si>
    <t xml:space="preserve">Fasilitas tanpa kamera fundus butuh alat skrining dari data klinis rutin.</t>
  </si>
  <si>
    <t xml:space="preserve">Model DR dari survei nasional representatif; perbandingan LR vs XGB, DT, RF; SHAP.</t>
  </si>
  <si>
    <t xml:space="preserve">KNHANES, Korea Selatan, 2008-2012 dan 2017-2021</t>
  </si>
  <si>
    <t xml:space="preserve">3.026 (671 DR = 22,2%)</t>
  </si>
  <si>
    <t xml:space="preserve">Complete-case: hanya peserta tanpa missing pada variabel analisis</t>
  </si>
  <si>
    <t xml:space="preserve">Tidak ada; threshold Youden</t>
  </si>
  <si>
    <t xml:space="preserve">RFECV 5-fold, 16 variabel</t>
  </si>
  <si>
    <t xml:space="preserve">LR, XGBoost, DT, RF; RandomizedSearchCV / grid search</t>
  </si>
  <si>
    <t xml:space="preserve">Split 8:2 (2.420 / 606)</t>
  </si>
  <si>
    <t xml:space="preserve">AUC (95% CI), Sensitivity, Specificity, Accuracy, PPV, NPV</t>
  </si>
  <si>
    <t xml:space="preserve">RF terbaik: AUC 0,748; Sens 0,669; Spec 0,729; Acc 0,715. LR 0,744; XGB 0,731; DT 0,651</t>
  </si>
  <si>
    <t xml:space="preserve">SHAP: HbA1c, gula puasa, durasi DM, BMI</t>
  </si>
  <si>
    <t xml:space="preserve">Stadium DR tidak tersedia; hanya populasi Korea; complete-case membuang data.</t>
  </si>
  <si>
    <t xml:space="preserve">Model ML dari data klinis cukup andal tanpa fundus dan bisa menjadi CDSS.</t>
  </si>
  <si>
    <t xml:space="preserve">Tinggi: contoh jujur bahwa ML tidak selalu jauh lebih baik daripada LR.</t>
  </si>
  <si>
    <t xml:space="preserve">Pan H, Sun J, Luo X, Ai H, Zeng J, Shi R, Zhang A</t>
  </si>
  <si>
    <t xml:space="preserve">A risk prediction model for type 2 diabetes mellitus complicated with retinopathy based on machine learning and its application in health management</t>
  </si>
  <si>
    <t xml:space="preserve">Frontiers in Medicine, 10:1136653</t>
  </si>
  <si>
    <t xml:space="preserve">10.3389/fmed.2023.1136653</t>
  </si>
  <si>
    <t xml:space="preserve">papers/05_Pan2023.pdf</t>
  </si>
  <si>
    <t xml:space="preserve">Membangun model risiko DR dengan indikator sesedikit mungkin untuk pasien T2DM di Tiongkok.</t>
  </si>
  <si>
    <t xml:space="preserve">Model DR yang ada memakai banyak indikator yang sebagian sulit diperoleh.</t>
  </si>
  <si>
    <t xml:space="preserve">Seleksi fitur 4 metode dengan aturan voting (terpilih di &gt;=3 metode); nomogram dan kalkulator web.</t>
  </si>
  <si>
    <t xml:space="preserve">Risiko DR pada T2DM</t>
  </si>
  <si>
    <t xml:space="preserve">6 komunitas di Yangpu dan Pudong, Shanghai, Tiongkok, Okt 2014 - Apr 2015</t>
  </si>
  <si>
    <t xml:space="preserve">2.385 (DR sekitar 20,5%); 23 kandidat faktor</t>
  </si>
  <si>
    <t xml:space="preserve">Complete-case (pasien dengan data hilang atau abnormal dikeluarkan); normalisasi untuk LASSO</t>
  </si>
  <si>
    <t xml:space="preserve">Tidak ada</t>
  </si>
  <si>
    <t xml:space="preserve">LASSO, RF-RFE, XGBoost, BPNN; prediktor akhir: HbA1c, durasi, gula 2 jam PP, usia, SBP, ACR</t>
  </si>
  <si>
    <t xml:space="preserve">Regresi logistik Model I (6 prediktor) vs Model II (studi terdahulu)</t>
  </si>
  <si>
    <t xml:space="preserve">Split 7:3; 10-fold CV untuk LASSO</t>
  </si>
  <si>
    <t xml:space="preserve">AUC, Accuracy, Precision, Recall, F1, Balanced accuracy, kalibrasi, NRI</t>
  </si>
  <si>
    <t xml:space="preserve">AUC test Model I 0,679 = Model II 0,679; recall hanya 0,035; NRI 0,004 (CI melewati nol)</t>
  </si>
  <si>
    <t xml:space="preserve">Nomogram dan persamaan regresi</t>
  </si>
  <si>
    <t xml:space="preserve">Cross-sectional, satu wilayah, tanpa faktor gaya hidup. Catatan reviewer: peningkatan praktis nihil dan recall sangat rendah akibat data tidak seimbang tidak ditangani.</t>
  </si>
  <si>
    <t xml:space="preserve">Model 6 variabel diklaim lebih baik dan berguna untuk skrining DR oleh dokter umum.</t>
  </si>
  <si>
    <t xml:space="preserve">Sedang: teknik voting seleksi fitur bagus, tapi hasilnya contoh pentingnya menangani imbalance.</t>
  </si>
  <si>
    <t xml:space="preserve">Kim S, Park J, Son Y, Lee H, Woo S, Lee M, Lee H, Sang H, Yon DK, Rhee SY</t>
  </si>
  <si>
    <t xml:space="preserve">Development and Validation of a Machine Learning Algorithm for Predicting Diabetes Retinopathy in Patients With Type 2 Diabetes: Algorithm Development Study</t>
  </si>
  <si>
    <t xml:space="preserve">JMIR Medical Informatics, 13:e58107</t>
  </si>
  <si>
    <t xml:space="preserve">10.2196/58107</t>
  </si>
  <si>
    <t xml:space="preserve">papers/06_Kim2025.pdf</t>
  </si>
  <si>
    <t xml:space="preserve">Memprediksi DR dalam 3 tahun pada T2DM dari data EMR rutin.</t>
  </si>
  <si>
    <t xml:space="preserve">Kinerja model prediktif DR berbasis data klinis masih belum mapan; riset AI DR didominasi citra fundus.</t>
  </si>
  <si>
    <t xml:space="preserve">Model tabular untuk layanan primer; dislipidemia dan kanker sebagai prediktor utama; validasi eksternal 2 RS.</t>
  </si>
  <si>
    <t xml:space="preserve">DR dalam 3 tahun</t>
  </si>
  <si>
    <t xml:space="preserve">EMR Korea 2008-2022: Kyung Hee University Medical Center (discovery), 2 RS lain (validasi)</t>
  </si>
  <si>
    <t xml:space="preserve">Discovery 14.694 (DR 2,37%); validasi 1.856 (DR 7,38%); 57 kandidat variabel</t>
  </si>
  <si>
    <t xml:space="preserve">Pasien dengan data hilang dikeluarkan; nilai lab terakhir sebelum onset dirata-rata, juga variabilitas (SD)</t>
  </si>
  <si>
    <t xml:space="preserve">SMOTE</t>
  </si>
  <si>
    <t xml:space="preserve">Ranking feature importance XGBoost (top 15)</t>
  </si>
  <si>
    <t xml:space="preserve">AdaBoost, CatBoost, LightGBM, RF, XGBoost; GridSearchCV</t>
  </si>
  <si>
    <t xml:space="preserve">Stratified 10-fold CV (internal) + validasi eksternal 2 RS</t>
  </si>
  <si>
    <t xml:space="preserve">AUROC, Accuracy, Sensitivity, Specificity, Balanced accuracy, Precision, F1, AUPRC</t>
  </si>
  <si>
    <t xml:space="preserve">XGBoost: AUROC internal 0,824, eksternal 0,717; Acc 75,1% vs 65,1%</t>
  </si>
  <si>
    <t xml:space="preserve">Feature importance: dislipidemia, kanker, hipertensi, CKD, variabilitas HbA1c dan glukosa</t>
  </si>
  <si>
    <t xml:space="preserve">Satu etnis; DR dari kode ICD; stadium DR tidak dimodelkan; performa turun di data eksternal.</t>
  </si>
  <si>
    <t xml:space="preserve">XGBoost dapat memprediksi risiko DR 3 tahun dari data rutin, dengan penurunan performa di validasi eksternal.</t>
  </si>
  <si>
    <t xml:space="preserve">Sedang: contoh validasi eksternal dan fitur variabilitas lab.</t>
  </si>
  <si>
    <t xml:space="preserve">Ginjal (DKD)</t>
  </si>
  <si>
    <t xml:space="preserve">Liu XZ, Duan M, Huang HD, Zhang Y, Xiang TY, Niu WC, Zhou B, Wang HL, Zhang TT</t>
  </si>
  <si>
    <t xml:space="preserve">Predicting diabetic kidney disease for type 2 diabetes mellitus by machine learning in the real world: a multicenter retrospective study</t>
  </si>
  <si>
    <t xml:space="preserve">Frontiers in Endocrinology, 14:1184190</t>
  </si>
  <si>
    <t xml:space="preserve">10.3389/fendo.2023.1184190</t>
  </si>
  <si>
    <t xml:space="preserve">papers/07_Liu2023.pdf</t>
  </si>
  <si>
    <t xml:space="preserve">Membangun model ML untuk diagnosis bantu DKD pada T2DM.</t>
  </si>
  <si>
    <t xml:space="preserve">Belum ada gold standard penilaian DKD selain biopsi; studi besar di populasi Tiongkok masih sedikit.</t>
  </si>
  <si>
    <t xml:space="preserve">Klaim penggunaan pertama CatBoost untuk DKD; perbandingan 15 algoritma; model ringkas 12 fitur; SHAP.</t>
  </si>
  <si>
    <t xml:space="preserve">Klasifikasi DKD vs T2DM tanpa DKD</t>
  </si>
  <si>
    <t xml:space="preserve">Platform Yidu-Cloud, 7 institusi di Tiongkok (periode tertulis tidak konsisten antara abstrak dan metode)</t>
  </si>
  <si>
    <t xml:space="preserve">3.624 (1.856 DKD / 1.768 non-DKD); 53 kandidat variabel</t>
  </si>
  <si>
    <t xml:space="preserve">Pasien missing &gt;25% dikeluarkan; sisa missing diimputasi MICE</t>
  </si>
  <si>
    <t xml:space="preserve">Tidak perlu (hampir seimbang)</t>
  </si>
  <si>
    <t xml:space="preserve">LASSO 53 menjadi 38 fitur; model ringkas 12 fitur teratas SHAP</t>
  </si>
  <si>
    <t xml:space="preserve">15 algoritma via PyCaret; CatBoost dituning Bayesian optimization</t>
  </si>
  <si>
    <t xml:space="preserve">Stratified split 80/20 + 10-fold CV</t>
  </si>
  <si>
    <t xml:space="preserve">AUC, Accuracy, Sensitivity</t>
  </si>
  <si>
    <t xml:space="preserve">CatBoost: AUC 0,861; Acc 0,777 (38 fitur); 12 fitur AUC 0,840</t>
  </si>
  <si>
    <t xml:space="preserve">SHAP: tekanan sistolik, kreatinin, lama rawat, thrombin time, usia</t>
  </si>
  <si>
    <t xml:space="preserve">Indikator penting dengan missing tinggi dibuang (durasi DM, protein urin 24 jam); cross-sectional. Catatan reviewer: lama rawat inap berisiko bocor informasi (leakage).</t>
  </si>
  <si>
    <t xml:space="preserve">CatBoost efektif untuk diagnosis bantu DKD dini; perlu validasi prospektif.</t>
  </si>
  <si>
    <t xml:space="preserve">Tinggi: contoh MICE + LASSO + SHAP pada data EHR multisenter.</t>
  </si>
  <si>
    <t xml:space="preserve">Sabanayagam C, He F, Nusinovici S, Li J, Lim C, Tan G, Cheng CY</t>
  </si>
  <si>
    <t xml:space="preserve">Prediction of diabetic kidney disease risk using machine learning models: a population-based cohort study of Asian adults</t>
  </si>
  <si>
    <t xml:space="preserve">eLife, 12:e81878</t>
  </si>
  <si>
    <t xml:space="preserve">10.7554/eLife.81878</t>
  </si>
  <si>
    <t xml:space="preserve">papers/08_Sabanayagam2023.pdf</t>
  </si>
  <si>
    <t xml:space="preserve">Membandingkan model ML dan LR untuk prediksi insiden DKD 6 tahun dan mengidentifikasi prediktor kunci.</t>
  </si>
  <si>
    <t xml:space="preserve">Sedikit studi ML untuk insiden DKD; regresi konvensional mudah overfit pada banyak variabel; butuh biomarker baru.</t>
  </si>
  <si>
    <t xml:space="preserve">ML + seleksi fitur mengungguli LR 7 faktor standar; metabolit sebagai calon faktor risiko baru.</t>
  </si>
  <si>
    <t xml:space="preserve">Insiden DKD dalam 6 tahun</t>
  </si>
  <si>
    <t xml:space="preserve">Singapore Epidemiology of Eye Diseases (SEED), kohort populasi, Singapura, baseline 2004-2011</t>
  </si>
  <si>
    <t xml:space="preserve">1.365 (162 DKD = 11,9%); 339 fitur dalam 6 set fitur</t>
  </si>
  <si>
    <t xml:space="preserve">Peserta missing &gt;10% dikeluarkan; imputasi mean/modus</t>
  </si>
  <si>
    <t xml:space="preserve">Stratified sampling saja</t>
  </si>
  <si>
    <t xml:space="preserve">RFE berbasis Elastic Net + importance RF/GBDT/XGB; akhir 15 fitur</t>
  </si>
  <si>
    <t xml:space="preserve">LR, LASSO, EN, CART, RF, GBDT, XGBoost, SVM, NB</t>
  </si>
  <si>
    <t xml:space="preserve">Stratified split 80/20 + 40 kali ulang 5-fold CV</t>
  </si>
  <si>
    <t xml:space="preserve">AUC (95% CI), Sensitivity, Specificity</t>
  </si>
  <si>
    <t xml:space="preserve">Elastic Net 15 fitur: AUC 0,851 vs LR 7 fitur 0,795 (naik relatif 7%); LASSO 0,820; GBDT 0,819</t>
  </si>
  <si>
    <t xml:space="preserve">Usia, SBP, retinopati, eGFR rendah, HbA1c, metabolit lipid</t>
  </si>
  <si>
    <t xml:space="preserve">DKD dari satu kali pengukuran kreatinin; albuminuria dibuang karena missing; tanpa validasi eksternal.</t>
  </si>
  <si>
    <t xml:space="preserve">Elastic Net dengan metabolit terpilih mengungguli model klinis standar.</t>
  </si>
  <si>
    <t xml:space="preserve">Sedang: metodologi validasi kuat (CV berulang), tapi fitur metabolit tidak tersedia di Zenodo.</t>
  </si>
  <si>
    <t xml:space="preserve">Cai SS, Zheng TY, Wang KY, Zhu HP</t>
  </si>
  <si>
    <t xml:space="preserve">Clinical study of different prediction models in predicting diabetic nephropathy in patients with type 2 diabetes mellitus</t>
  </si>
  <si>
    <t xml:space="preserve">World Journal of Diabetes, 15(1):43-52</t>
  </si>
  <si>
    <t xml:space="preserve">10.4239/wjd.v15.i1.43</t>
  </si>
  <si>
    <t xml:space="preserve">CC BY-NC 4.0</t>
  </si>
  <si>
    <t xml:space="preserve">papers/09_Cai2024.pdf</t>
  </si>
  <si>
    <t xml:space="preserve">Mengidentifikasi faktor DN pada T2DM dan membandingkan nomogram, decision tree, dan random forest.</t>
  </si>
  <si>
    <t xml:space="preserve">Sedikit studi yang membandingkan ketiga model untuk DN.</t>
  </si>
  <si>
    <t xml:space="preserve">5 prediktor independen; perbandingan 3 model.</t>
  </si>
  <si>
    <t xml:space="preserve">Nefropati diabetik (DN)</t>
  </si>
  <si>
    <t xml:space="preserve">First People's Hospital of Wenling, Tiongkok, Agu 2019 - Agu 2022</t>
  </si>
  <si>
    <t xml:space="preserve">210 (74 DN / 136 non-DN); train 147 / test 63</t>
  </si>
  <si>
    <t xml:space="preserve">Hanya data lengkap; tidak ada detail lain</t>
  </si>
  <si>
    <t xml:space="preserve">Uji univariat lalu LR multivariat: durasi DM, gula puasa, kreatinin, HbA1c, retinopati</t>
  </si>
  <si>
    <t xml:space="preserve">Nomogram (LR), Decision Tree (rpart), Random Forest</t>
  </si>
  <si>
    <t xml:space="preserve">Split acak 7:3; uji DeLong</t>
  </si>
  <si>
    <t xml:space="preserve">Accuracy, Sensitivity, Specificity, Precision, AUC</t>
  </si>
  <si>
    <t xml:space="preserve">RF AUC 0,850 (Acc 0,730); nomogram AUC 0,811 (Acc 0,746); DT AUC 0,735</t>
  </si>
  <si>
    <t xml:space="preserve">Nomogram, aturan pohon, importance RF</t>
  </si>
  <si>
    <t xml:space="preserve">Retrospektif, satu RS, sampel kecil; keunggulan RF atas nomogram tidak signifikan.</t>
  </si>
  <si>
    <t xml:space="preserve">RF menunjukkan prediksi dan stabilitas yang baik untuk DN.</t>
  </si>
  <si>
    <t xml:space="preserve">Sedang: baseline sederhana LR vs pohon.</t>
  </si>
  <si>
    <t xml:space="preserve">Li T, Chen J, Zhang X, Wang K, Zhao X, Cao Y, Xu Z, Wang S, Su P, He X, Yang Y, Cao X, Liang X, Ma D</t>
  </si>
  <si>
    <t xml:space="preserve">A machine learning model for predicting the risk of diabetic nephropathy in individuals with type 2 diabetes mellitus</t>
  </si>
  <si>
    <t xml:space="preserve">Frontiers in Endocrinology, 16:1587932</t>
  </si>
  <si>
    <t xml:space="preserve">10.3389/fendo.2025.1587932</t>
  </si>
  <si>
    <t xml:space="preserve">papers/10_Li2025.pdf</t>
  </si>
  <si>
    <t xml:space="preserve">Mengembangkan dan memvalidasi model ML risiko DKD, membandingkan 8 algoritma, dan membuat kalkulator online.</t>
  </si>
  <si>
    <t xml:space="preserve">Analisis komparatif banyak model ML untuk DKD pada T2DM belum dieksplorasi.</t>
  </si>
  <si>
    <t xml:space="preserve">Perbandingan 8 model; XGBoost terbaik; kalkulator web; SHAP dan DCA.</t>
  </si>
  <si>
    <t xml:space="preserve">Risiko DKD pada T2DM</t>
  </si>
  <si>
    <t xml:space="preserve">Shijiazhuang Second Hospital, Tiongkok, Des 2017 - Des 2023</t>
  </si>
  <si>
    <t xml:space="preserve">10.057 (5.162 DKD / 4.895 non-DKD); 47 kandidat fitur</t>
  </si>
  <si>
    <t xml:space="preserve">Tidak dilaporkan</t>
  </si>
  <si>
    <t xml:space="preserve">LASSO 10-fold CV, 15 fitur</t>
  </si>
  <si>
    <t xml:space="preserve">LR, RF, SVM, GNB, KNN, GBM, AdaBoost, XGBoost (tuning tidak dilaporkan)</t>
  </si>
  <si>
    <t xml:space="preserve">15% hold-out acak + split 7:3 + 10-fold CV</t>
  </si>
  <si>
    <t xml:space="preserve">AUC, Accuracy, F1, Sensitivity, Specificity, Brier (XGBoost saja), DCA</t>
  </si>
  <si>
    <t xml:space="preserve">XGBoost AUC 0,932 (train) / 0,930 (validasi); RF 0,817; LR 0,675</t>
  </si>
  <si>
    <t xml:space="preserve">SHAP: mikroalbuminuria, retinopati, hipertensi, kreatinin, asam urat</t>
  </si>
  <si>
    <t xml:space="preserve">Tanpa data obat; data RS saja. Catatan reviewer: preprocessing tidak dilaporkan, 'validasi eksternal' berasal dari RS yang sama, dan CI AUC eksternal tidak cocok dengan nilainya.</t>
  </si>
  <si>
    <t xml:space="preserve">XGBoost paling akurat dan kalkulatornya praktis.</t>
  </si>
  <si>
    <t xml:space="preserve">Sedang: sampel besar, tapi pelaporan lemah sehingga cocok sebagai bahan kritik.</t>
  </si>
  <si>
    <t xml:space="preserve">Lin X, Liu C, Wang H, Fan X, Li L, Xu J, Li C, Wang Y, Cai X, Peng X</t>
  </si>
  <si>
    <t xml:space="preserve">A SuperLearner approach for predicting diabetic kidney disease upon the initial diagnosis of T2DM in hospital</t>
  </si>
  <si>
    <t xml:space="preserve">BMC Medical Informatics and Decision Making, 25:148</t>
  </si>
  <si>
    <t xml:space="preserve">10.1186/s12911-025-02977-x</t>
  </si>
  <si>
    <t xml:space="preserve">papers/11_Lin2025.pdf</t>
  </si>
  <si>
    <t xml:space="preserve">Memprediksi DKD pada pasien yang baru didiagnosis T2DM dari data dunia nyata.</t>
  </si>
  <si>
    <t xml:space="preserve">Studi lama mengecualikan pasien tanpa eGFR awal (bias seleksi); belum ada model gabungan via SuperLearner; penanganan missing sering tidak dilaporkan.</t>
  </si>
  <si>
    <t xml:space="preserve">Perbandingan model linear, non-linear, dan SuperLearner; SHAP tingkat pasien; calon penanda baru (leukosit, pH urin).</t>
  </si>
  <si>
    <t xml:space="preserve">Kejadian DKD sejak diagnosis awal T2DM</t>
  </si>
  <si>
    <t xml:space="preserve">Ningbo Municipal Hospital of TCM, Tiongkok, 2011-2023</t>
  </si>
  <si>
    <t xml:space="preserve">3.291 (563 DKD = 17,1%); 74 menjadi 46 prediktor</t>
  </si>
  <si>
    <t xml:space="preserve">Variabel missing &gt;70% dibuang; pasien missing &gt;30% dikeluarkan; MICE; outlier dibuang berdasarkan pertimbangan klinis</t>
  </si>
  <si>
    <t xml:space="preserve">Tidak ada seleksi eksplisit (46 variabel)</t>
  </si>
  <si>
    <t xml:space="preserve">MLR, LASSO, RF, XGBoost, SuperLearner; tuning via CV</t>
  </si>
  <si>
    <t xml:space="preserve">Split 70/30 (2.303 / 988)</t>
  </si>
  <si>
    <t xml:space="preserve">AUC, Sensitivity, Specificity, PPV, NPV, likelihood ratio</t>
  </si>
  <si>
    <t xml:space="preserve">SuperLearner: AUC train 0,938, holdout 0,714; Sens 73,4%; Spec 59,1%</t>
  </si>
  <si>
    <t xml:space="preserve">SHAP: leukosit, neutrofil, hematokrit, hemoglobin, usia, HbA1c</t>
  </si>
  <si>
    <t xml:space="preserve">Satu RS, tidak ada data retinopati, follow-up pendek. Catatan reviewer: selisih AUC train dan holdout besar (overfitting).</t>
  </si>
  <si>
    <t xml:space="preserve">SuperLearner yang dijelaskan dengan SHAP bisa membantu deteksi dini DKD.</t>
  </si>
  <si>
    <t xml:space="preserve">Tinggi: contoh pelaporan missing yang rapi (ambang 70%/30% + MICE) dan performa realistis.</t>
  </si>
  <si>
    <t xml:space="preserve">Luo J, Chen G, Yang J</t>
  </si>
  <si>
    <t xml:space="preserve">Development and internal validation of a machine-learning-based risk identification model for diabetic kidney disease in patients with type 2 diabetes</t>
  </si>
  <si>
    <t xml:space="preserve">Frontiers in Endocrinology, 17:1888060</t>
  </si>
  <si>
    <t xml:space="preserve">10.3389/fendo.2026.1888060</t>
  </si>
  <si>
    <t xml:space="preserve">papers/12_Luo2026.pdf</t>
  </si>
  <si>
    <t xml:space="preserve">Membangun model non-invasif identifikasi risiko DKD dari indikator lab rutin.</t>
  </si>
  <si>
    <t xml:space="preserve">Kesadaran DKD rendah dan alat skrining dini kurang.</t>
  </si>
  <si>
    <t xml:space="preserve">Model LR terinterpretasi dengan DCA, kalibrasi, dan SHAP dari lab rutin.</t>
  </si>
  <si>
    <t xml:space="preserve">Sihui People's Hospital, Guangdong, Tiongkok, Jan 2023 - Jun 2024</t>
  </si>
  <si>
    <t xml:space="preserve">602 (457 T2DM / 145 DKD) dari 820 rekam medis; 19 indikator lab</t>
  </si>
  <si>
    <t xml:space="preserve">Missing &lt;5%: modus (kategorikal), mean (kontinu normal), KNN (numerik lain)</t>
  </si>
  <si>
    <t xml:space="preserve">Tidak ada (rasio sekitar 3:1)</t>
  </si>
  <si>
    <t xml:space="preserve">LR univariat lalu multivariat: HbA1c, beta2-MG, protein urin, albumin, eGFR; VIF&lt;5</t>
  </si>
  <si>
    <t xml:space="preserve">LR, XGBoost, RF, AdaBoost, SVC, GNB</t>
  </si>
  <si>
    <t xml:space="preserve">Split 8:2 + 5-fold CV</t>
  </si>
  <si>
    <t xml:space="preserve">AUC, Accuracy, Sens, Spec, PPV, NPV, F1, Kappa, Brier, kalibrasi, DCA</t>
  </si>
  <si>
    <t xml:space="preserve">LR: AUC test 0,979; Sens 89,7%; Spec 92,4%</t>
  </si>
  <si>
    <t xml:space="preserve">SHAP: HbA1c, albumin, protein urin, eGFR, beta2-MG</t>
  </si>
  <si>
    <t xml:space="preserve">Satu RS, cross-sectional, tanpa durasi DM dan obat. Catatan reviewer: AUC sangat tinggi karena prediktor (protein urin, eGFR) bagian dari definisi DKD; RF AUC train 1,000.</t>
  </si>
  <si>
    <t xml:space="preserve">LR dengan indikator rutin andal untuk stratifikasi risiko DKD.</t>
  </si>
  <si>
    <t xml:space="preserve">Sangat tinggi: panel lab hampir sama dengan Zenodo; langkah imputasi eksplisit.</t>
  </si>
  <si>
    <t xml:space="preserve">Neuropati (DPN)</t>
  </si>
  <si>
    <t xml:space="preserve">Sun M, Sun X, Wang F, Liu L</t>
  </si>
  <si>
    <t xml:space="preserve">Machine learning-based prediction of diabetic peripheral neuropathy: model development and clinical validation</t>
  </si>
  <si>
    <t xml:space="preserve">Frontiers in Endocrinology, 16:1614657</t>
  </si>
  <si>
    <t xml:space="preserve">10.3389/fendo.2025.1614657</t>
  </si>
  <si>
    <t xml:space="preserve">papers/13_Sun2025.pdf</t>
  </si>
  <si>
    <t xml:space="preserve">Membangun model ML prediksi risiko DPN dari data demografis, klinis, dan biokimia.</t>
  </si>
  <si>
    <t xml:space="preserve">Model DPN sebelumnya sering memakai satu algoritma, tanpa SHAP, dan jarang menjadi alat yang bisa dipakai.</t>
  </si>
  <si>
    <t xml:space="preserve">Seleksi fitur Boruta + LASSO; 9 algoritma; SHAP; kalkulator web Shiny.</t>
  </si>
  <si>
    <t xml:space="preserve">Risiko DPN</t>
  </si>
  <si>
    <t xml:space="preserve">First Affiliated Hospital of Shandong First Medical University, Tiongkok, 2023-2024</t>
  </si>
  <si>
    <t xml:space="preserve">1.544 (529 DPN = 34,3%); 23 kandidat variabel</t>
  </si>
  <si>
    <t xml:space="preserve">Multiple imputation (mice, 5 imputasi, PMM); semua variabel missing &lt;30%</t>
  </si>
  <si>
    <t xml:space="preserve">Tidak ada (sengaja, untuk menjaga distribusi nyata)</t>
  </si>
  <si>
    <t xml:space="preserve">Irisan Boruta dan LASSO, 8 fitur</t>
  </si>
  <si>
    <t xml:space="preserve">LR, DT, RF, KNN, SVM, NB, XGB, SGBT, NNET; grid search</t>
  </si>
  <si>
    <t xml:space="preserve">Split 70/30 + 10x10-fold CV di training</t>
  </si>
  <si>
    <t xml:space="preserve">Accuracy, Sens, Spec, PPV, NPV, F1, Kappa, AUC, DCA</t>
  </si>
  <si>
    <t xml:space="preserve">SGBT AUC test 0,811 (train 0,933); XGB 0,810; LR 0,757</t>
  </si>
  <si>
    <t xml:space="preserve">SHAP: durasi DM, HbA1c, kreatinin, hipertensi, asam urat</t>
  </si>
  <si>
    <t xml:space="preserve">Retrospektif, satu RS perkotaan, tanpa gaya hidup/obat; ada gejala overfitting.</t>
  </si>
  <si>
    <t xml:space="preserve">Alat prediksi DPN yang andal; perlu validasi multisenter.</t>
  </si>
  <si>
    <t xml:space="preserve">Tinggi: kombinasi MICE + Boruta/LASSO + banyak model + SHAP.</t>
  </si>
  <si>
    <t xml:space="preserve">Wang L, Li J, Lin Y, Yuan H, Fang Z, Fei A, Shen G, Jiang A</t>
  </si>
  <si>
    <t xml:space="preserve">Establishment and external validation of an early warning model of diabetic peripheral neuropathy based on random forest and logistic regression</t>
  </si>
  <si>
    <t xml:space="preserve">BMC Endocrine Disorders, 24:196</t>
  </si>
  <si>
    <t xml:space="preserve">10.1186/s12902-024-01728-9</t>
  </si>
  <si>
    <t xml:space="preserve">CC BY-NC-ND 4.0</t>
  </si>
  <si>
    <t xml:space="preserve">papers/14_Wang2024.pdf</t>
  </si>
  <si>
    <t xml:space="preserve">Mengidentifikasi faktor risiko DPN dan membangun model diagnosis dini.</t>
  </si>
  <si>
    <t xml:space="preserve">DPN sering tanpa gejala di awal; tes sensorik bergantung respons subjektif.</t>
  </si>
  <si>
    <t xml:space="preserve">Nomogram LR 9 prediktor; perbandingan dengan RF; validasi eksternal di RS kedua.</t>
  </si>
  <si>
    <t xml:space="preserve">DPN</t>
  </si>
  <si>
    <t xml:space="preserve">2 RS di Anhui, Tiongkok, Jan 2018 - Jun 2022</t>
  </si>
  <si>
    <t xml:space="preserve">1.806 (training 1.012, validasi internal 434, eksternal 360)</t>
  </si>
  <si>
    <t xml:space="preserve">Pasien dengan data baseline hilang dikeluarkan; entri ganda oleh dua peneliti</t>
  </si>
  <si>
    <t xml:space="preserve">Univariat lalu eliminasi mundur LR: kebas, nyeri tungkai, DR, DKD, protein urin, DBP, leukosit, HbA1c, HDL</t>
  </si>
  <si>
    <t xml:space="preserve">LR (nomogram), RF (grid search + CV)</t>
  </si>
  <si>
    <t xml:space="preserve">Split 7:3 + validasi eksternal RS kedua + 10-fold CV</t>
  </si>
  <si>
    <t xml:space="preserve">AUC, kalibrasi, Hosmer-Lemeshow, Brier, DCA</t>
  </si>
  <si>
    <t xml:space="preserve">LR AUC eksternal 0,88; RF 0,88 (train 0,95). LR lebih terkalibrasi</t>
  </si>
  <si>
    <t xml:space="preserve">SHAP + nomogram: kebas tungkai, nyeri tungkai</t>
  </si>
  <si>
    <t xml:space="preserve">Retrospektif, tanpa analisis sensitivitas dan data obat. Catatan reviewer: label tabel tertukar; gejala klinis dominan sebagai prediktor.</t>
  </si>
  <si>
    <t xml:space="preserve">Nomogram bisa membantu diagnosis DPN; LR dipilih karena generalisasi lebih baik.</t>
  </si>
  <si>
    <t xml:space="preserve">Sedang: salah satu dari sedikit studi dengan validasi eksternal.</t>
  </si>
  <si>
    <t xml:space="preserve">Vaskular (PVD)</t>
  </si>
  <si>
    <t xml:space="preserve">Liu L, Bi B, Cao L, Gui M, Ju F</t>
  </si>
  <si>
    <t xml:space="preserve">Predictive model and risk analysis for peripheral vascular disease in type 2 diabetes mellitus patients using machine learning and shapley additive explanation</t>
  </si>
  <si>
    <t xml:space="preserve">Frontiers in Endocrinology, 15:1320335</t>
  </si>
  <si>
    <t xml:space="preserve">10.3389/fendo.2024.1320335</t>
  </si>
  <si>
    <t xml:space="preserve">papers/15_Liu2024.pdf</t>
  </si>
  <si>
    <t xml:space="preserve">Membangun model ML risiko PVD pada T2DM dari EHR dan menganalisis faktornya dengan SHAP.</t>
  </si>
  <si>
    <t xml:space="preserve">Belum ada model ML khusus untuk PVD pada T2DM.</t>
  </si>
  <si>
    <t xml:space="preserve">Pertama memakai beberapa algoritma ML untuk PVD pada T2DM; RFE + SMOTE; SHAP global dan individual.</t>
  </si>
  <si>
    <t xml:space="preserve">PVD pada T2DM</t>
  </si>
  <si>
    <t xml:space="preserve">EHR Second Affiliated Hospital of Hainan Medical University, Tiongkok, Jan 2021 - Mar 2023</t>
  </si>
  <si>
    <t xml:space="preserve">3.982 dianalisis (3.065 PVD / 917 non-PVD); 53 variabel masuk RFE</t>
  </si>
  <si>
    <t xml:space="preserve">Indikator missing &gt;25% dibuang; sampel missing &gt;30% dikeluarkan; imputasi median dan MissForest; normalisasi</t>
  </si>
  <si>
    <t xml:space="preserve">SMOTE hanya pada data training</t>
  </si>
  <si>
    <t xml:space="preserve">RFE berbasis RF, 12 prediktor</t>
  </si>
  <si>
    <t xml:space="preserve">DT, LR, RF, SVM, XGBoost, AdaBoost; grid search 10-fold CV</t>
  </si>
  <si>
    <t xml:space="preserve">Split 8:2 + 10-fold CV</t>
  </si>
  <si>
    <t xml:space="preserve">Accuracy, Precision, Recall, F1, G-mean, AUC</t>
  </si>
  <si>
    <t xml:space="preserve">XGBoost AUC 0,945; Acc 0,890; AdaBoost 0,938; RF 0,935; LR 0,711</t>
  </si>
  <si>
    <t xml:space="preserve">SHAP: hemoglobin, usia, asam empedu total, lipoprotein(a)</t>
  </si>
  <si>
    <t xml:space="preserve">Satu RS, validasi internal; imputasi dan seleksi fitur dilakukan sebelum split (diakui penulis).</t>
  </si>
  <si>
    <t xml:space="preserve">Model ML PVD berperforma baik dan memberi gambaran faktor risiko.</t>
  </si>
  <si>
    <t xml:space="preserve">Tinggi: contoh SMOTE yang benar (hanya training) dan metrik G-mean.</t>
  </si>
  <si>
    <t xml:space="preserve">Multi-komplikasi</t>
  </si>
  <si>
    <t xml:space="preserve">Wu Y, Dong D, Zhu L, Luo Z, Liu Y, Xie X</t>
  </si>
  <si>
    <t xml:space="preserve">Interpretable machine learning models for detecting peripheral neuropathy and lower extremity arterial disease in diabetics: an analysis of critical shared and unique risk factors</t>
  </si>
  <si>
    <t xml:space="preserve">BMC Medical Informatics and Decision Making, 24:200</t>
  </si>
  <si>
    <t xml:space="preserve">10.1186/s12911-024-02595-z</t>
  </si>
  <si>
    <t xml:space="preserve">papers/16_Wu2024.pdf</t>
  </si>
  <si>
    <t xml:space="preserve">Memprediksi DPN dan LEAD serta mengidentifikasi faktor risiko bersama dan khusus.</t>
  </si>
  <si>
    <t xml:space="preserve">Studi sebelumnya memodelkan satu komplikasi saja; diagnosis butuh alat khusus.</t>
  </si>
  <si>
    <t xml:space="preserve">Model dari data rutin; 3 metode seleksi fitur dengan voting; tuning PSO; SHAP faktor bersama.</t>
  </si>
  <si>
    <t xml:space="preserve">DPN dan LEAD (dua model)</t>
  </si>
  <si>
    <t xml:space="preserve">Tongji Hospital, Tiongkok, Jan 2022 - Mar 2023</t>
  </si>
  <si>
    <t xml:space="preserve">479 (DPN 44,9%; LEAD 14,4%); 38 kandidat fitur</t>
  </si>
  <si>
    <t xml:space="preserve">Missing &lt;30%: isi dengan pengukuran terakhir sebelumnya, sisanya median</t>
  </si>
  <si>
    <t xml:space="preserve">LEAD: random undersampling ke rasio 1:3</t>
  </si>
  <si>
    <t xml:space="preserve">MI, RF-RFE, Boruta; fitur terpilih &gt;=2 metode (DPN 12, LEAD 9)</t>
  </si>
  <si>
    <t xml:space="preserve">LR, RF, XGBoost; tuning Particle Swarm Optimization</t>
  </si>
  <si>
    <t xml:space="preserve">Split 80/20; tanpa CV</t>
  </si>
  <si>
    <t xml:space="preserve">Recall, Specificity, Precision, Accuracy, F1, AUC</t>
  </si>
  <si>
    <t xml:space="preserve">DPN: XGBoost AUC 0,903. LEAD: RF AUC 0,923</t>
  </si>
  <si>
    <t xml:space="preserve">SHAP: ACR, HbA1c, kreatinin, usia, stenosis karotis sebagai faktor bersama</t>
  </si>
  <si>
    <t xml:space="preserve">Satu RS, sampel kecil, tanpa CV dan validasi eksternal (pengamatan reviewer).</t>
  </si>
  <si>
    <t xml:space="preserve">ML dapat memprediksi DPN dan LEAD dari data rutin; faktor bersama jadi target prioritas.</t>
  </si>
  <si>
    <t xml:space="preserve">Tinggi: kerangka multi-komplikasi dan voting seleksi fitur, cocok untuk data komplikasi Zenodo.</t>
  </si>
  <si>
    <t xml:space="preserve">Voskergian D, Bakir-Gungor B, Yousef M</t>
  </si>
  <si>
    <t xml:space="preserve">Engineering novel features for diabetes complication prediction using synthetic electronic health records</t>
  </si>
  <si>
    <t xml:space="preserve">Frontiers in Genetics, 16:1451290</t>
  </si>
  <si>
    <t xml:space="preserve">10.3389/fgene.2025.1451290</t>
  </si>
  <si>
    <t xml:space="preserve">papers/17_Voskergian2025.pdf</t>
  </si>
  <si>
    <t xml:space="preserve">Memprediksi 4 komplikasi diabetes dari EHR sintetis dengan feature engineering baru.</t>
  </si>
  <si>
    <t xml:space="preserve">Prediksi komplikasi kurang diteliti dibanding prediksi onset; studi lama memakai sedikit fitur dan populasi kecil.</t>
  </si>
  <si>
    <t xml:space="preserve">Feature engineering pasangan [rentang usia, kode ICD] berbobot urutan kunjungan; perbandingan 5 model.</t>
  </si>
  <si>
    <t xml:space="preserve">Retinopati, CKD, penyakit jantung iskemik, amputasi</t>
  </si>
  <si>
    <t xml:space="preserve">sEHR CAMDA 2023, sintetis dari data Sistem Kesehatan Andalusia, Spanyol</t>
  </si>
  <si>
    <t xml:space="preserve">324.575 rekam setelah preprocessing</t>
  </si>
  <si>
    <t xml:space="preserve">JSON ke tabel; buang rekam kosong dan kunjungan sebelum diagnosis; cegah leakage; min-max scaling</t>
  </si>
  <si>
    <t xml:space="preserve">Random downsampling kelas negatif</t>
  </si>
  <si>
    <t xml:space="preserve">Seleksi berbasis XGBoost (25-200 fitur)</t>
  </si>
  <si>
    <t xml:space="preserve">DT, RF, XGBoost, AdaBoost, LogitBoost</t>
  </si>
  <si>
    <t xml:space="preserve">Monte Carlo CV 90/10 + validasi terpartisi</t>
  </si>
  <si>
    <t xml:space="preserve">Accuracy, Sensitivity, Specificity, Precision, F-measure, AUC</t>
  </si>
  <si>
    <t xml:space="preserve">XGBoost: retinopati AUC 0,84; jantung iskemik 0,84; CKD 0,77; amputasi 0,75</t>
  </si>
  <si>
    <t xml:space="preserve">Ranking importance RF/XGB: hipertensi, hiperlipidemia, artrosis</t>
  </si>
  <si>
    <t xml:space="preserve">Data sintetis, perlu validasi eksternal; data amputasi kecil; angka prevalensi tidak konsisten.</t>
  </si>
  <si>
    <t xml:space="preserve">XGBoost dan RF terbaik; feature engineering mengungguli bag-of-features.</t>
  </si>
  <si>
    <t xml:space="preserve">Sedang: ide multi-target komplikasi dan pencegahan leakage.</t>
  </si>
  <si>
    <t xml:space="preserve">Preprocessing: missing data</t>
  </si>
  <si>
    <t xml:space="preserve">Jabbar Z, Washington P</t>
  </si>
  <si>
    <t xml:space="preserve">The Effect of Data Missingness on Machine Learning Predictions of Uncontrolled Diabetes Using All of Us Data</t>
  </si>
  <si>
    <t xml:space="preserve">BioMedInformatics, 4(1):780-795</t>
  </si>
  <si>
    <t xml:space="preserve">10.3390/biomedinformatics4010043</t>
  </si>
  <si>
    <t xml:space="preserve">CC BY 3.0</t>
  </si>
  <si>
    <t xml:space="preserve">papers/18_Jabbar2024.pdf</t>
  </si>
  <si>
    <t xml:space="preserve">Menguji pengaruh metode imputasi terhadap prediksi diabetes pada data EHR dengan missing tinggi.</t>
  </si>
  <si>
    <t xml:space="preserve">Studi sebelumnya tidak menunjukkan perubahan performa terhadap jumlah fitur yang hilang.</t>
  </si>
  <si>
    <t xml:space="preserve">Analisis performa dan fairness per tingkat missingness; perbandingan 6 strategi imputasi.</t>
  </si>
  <si>
    <t xml:space="preserve">Prediksi diabetes</t>
  </si>
  <si>
    <t xml:space="preserve">NIH All of Us Research Program, Amerika Serikat (diakses Jan 2024)</t>
  </si>
  <si>
    <t xml:space="preserve">162.453 (56.655 positif); 47 fitur; missing hingga 65% (bikarbonat)</t>
  </si>
  <si>
    <t xml:space="preserve">Dibandingkan: tanpa imputasi, auto-impute, konstanta, mean, median, multiple imputation (Bayesian Ridge)</t>
  </si>
  <si>
    <t xml:space="preserve">Random oversampling (dibandingkan)</t>
  </si>
  <si>
    <t xml:space="preserve">Auto-sklearn 2.0</t>
  </si>
  <si>
    <t xml:space="preserve">Stratified split 80/20</t>
  </si>
  <si>
    <t xml:space="preserve">AUROC, Balanced accuracy, F1, Precision, Recall, metrik fairness, uji heteroskedastisitas</t>
  </si>
  <si>
    <t xml:space="preserve">Performa turun seiring bertambahnya fitur hilang; imputasi meratakan penurunan tapi variansnya membesar (heteroskedastis)</t>
  </si>
  <si>
    <t xml:space="preserve">Analisis per gender dan ras</t>
  </si>
  <si>
    <t xml:space="preserve">Performa belum siap klinis; anggaran pelatihan 3 jam; tanpa CV.</t>
  </si>
  <si>
    <t xml:space="preserve">Imputasi perlu, tapi menambah noise dan ketidakmerataan performa antar pasien.</t>
  </si>
  <si>
    <t xml:space="preserve">Tinggi: dasar argumen pemilihan strategi imputasi untuk data klinis Zenodo.</t>
  </si>
  <si>
    <t xml:space="preserve">Preprocessing: imbalance</t>
  </si>
  <si>
    <t xml:space="preserve">Li Y, Wang X, Hu H, Zhou X, Hu N, Liu W, Zhang Y, Mao P, Xu L, Zhu Q, Fan B, Li Y</t>
  </si>
  <si>
    <t xml:space="preserve">Development and validation of a risk prediction model for painful diabetic peripheral neuropathy in type 2 diabetes mellitus: a multicenter retrospective study</t>
  </si>
  <si>
    <t xml:space="preserve">Frontiers in Endocrinology, 16:1651493</t>
  </si>
  <si>
    <t xml:space="preserve">10.3389/fendo.2025.1651493</t>
  </si>
  <si>
    <t xml:space="preserve">papers/19_Li2025.pdf</t>
  </si>
  <si>
    <t xml:space="preserve">Membangun model risiko DPN nyeri (PDPN) untuk layanan primer.</t>
  </si>
  <si>
    <t xml:space="preserve">Model PDPN yang ada kurang tergeneralisasi ke populasi Tiongkok dan tanpa validasi eksternal.</t>
  </si>
  <si>
    <t xml:space="preserve">Data multisenter komunitas; regimen obat sebagai prediktor; nomogram web; SHAP.</t>
  </si>
  <si>
    <t xml:space="preserve">PDPN (sangat tidak seimbang, 4,08%)</t>
  </si>
  <si>
    <t xml:space="preserve">13 fasilitas kesehatan komunitas, Beijing, Tiongkok, Mei 2023 - Mar 2024</t>
  </si>
  <si>
    <t xml:space="preserve">1.984 (81 PDPN)</t>
  </si>
  <si>
    <t xml:space="preserve">Missing ditangani dengan eksklusi (247 dibuang)</t>
  </si>
  <si>
    <t xml:space="preserve">SMOTE 200% pada kelas minoritas di data pengembangan</t>
  </si>
  <si>
    <t xml:space="preserve">LASSO 10-fold CV aturan 1-SE, 10 prediktor</t>
  </si>
  <si>
    <t xml:space="preserve">LR, RF, XGBoost, LightGBM, ANN, SVM; grid search repeated 5-fold CV</t>
  </si>
  <si>
    <t xml:space="preserve">Test set independen (594) + bootstrap 1.000 kali</t>
  </si>
  <si>
    <t xml:space="preserve">AUC-ROC, PR-AUC, Brier, G-mean, Sens, Spec, PPV, NPV, Balanced accuracy, MCC</t>
  </si>
  <si>
    <t xml:space="preserve">RF AUC 0,913 (PR-AUC 0,488); LR AUC 0,894 dengan sensitivitas dan balanced accuracy tertinggi (dipilih)</t>
  </si>
  <si>
    <t xml:space="preserve">SHAP + nomogram: gangguan muskuloskeletal, HbA1c</t>
  </si>
  <si>
    <t xml:space="preserve">Cross-sectional, hanya Beijing, event sedikit (81), proporsi split tidak konsisten.</t>
  </si>
  <si>
    <t xml:space="preserve">LR sebagai nomogram web direkomendasikan untuk pra-skrining.</t>
  </si>
  <si>
    <t xml:space="preserve">Tinggi: contoh metrik yang tepat untuk data tidak seimbang (PR-AUC, MCC, G-mean).</t>
  </si>
  <si>
    <t xml:space="preserve">Preprocessing: imbalance + ensemble</t>
  </si>
  <si>
    <t xml:space="preserve">Li W, Peng Y, Peng K</t>
  </si>
  <si>
    <t xml:space="preserve">Diabetes prediction model based on GA-XGBoost and stacking ensemble algorithm</t>
  </si>
  <si>
    <t xml:space="preserve">PLOS ONE, 19(9):e0311222</t>
  </si>
  <si>
    <t xml:space="preserve">10.1371/journal.pone.0311222</t>
  </si>
  <si>
    <t xml:space="preserve">papers/20_Li2024.pdf</t>
  </si>
  <si>
    <t xml:space="preserve">Membangun model prediksi diabetes dengan stacking berbasis GA-XGBoost dan menjelaskannya dengan SHAP.</t>
  </si>
  <si>
    <t xml:space="preserve">Metode ML tradisional akurasinya rendah dan generalisasinya buruk.</t>
  </si>
  <si>
    <t xml:space="preserve">Perbandingan 4 teknik resampling; GA untuk tuning XGBoost; stacking 2 lapis; SHAP.</t>
  </si>
  <si>
    <t xml:space="preserve">BRFSS 2021 (Kaggle), Amerika Serikat</t>
  </si>
  <si>
    <t xml:space="preserve">Angka jumlah data tidak konsisten di naskah; prevalensi diabetes 14,2%</t>
  </si>
  <si>
    <t xml:space="preserve">Missing dihapus; recoding sesuai codebook</t>
  </si>
  <si>
    <t xml:space="preserve">ROS, ADASYN, SMOTE, SMOTEENN (terbaik)</t>
  </si>
  <si>
    <t xml:space="preserve">Korelasi Pearson dan uji chi-square</t>
  </si>
  <si>
    <t xml:space="preserve">XGBoost, AdaBoost, LightGBM, DT, LR, GA-XGBoost, Stacking</t>
  </si>
  <si>
    <t xml:space="preserve">Split 80/20; 5-fold CV untuk stacking</t>
  </si>
  <si>
    <t xml:space="preserve">Accuracy, Precision, Recall, F1, AUC</t>
  </si>
  <si>
    <t xml:space="preserve">XGBoost tanpa resampling AUC 0,828 (recall 17%); stacking setelah SMOTEENN AUC 0,989; Acc 94,9%</t>
  </si>
  <si>
    <t xml:space="preserve">SHAP: kesehatan umum, kolesterol tinggi, BMI</t>
  </si>
  <si>
    <t xml:space="preserve">Data survei Kaggle; parameter optimasi memakan waktu. Catatan reviewer: lonjakan AUC setelah SMOTEENN menunjukkan kemungkinan resampling sebelum split (leakage); angka dataset tidak konsisten.</t>
  </si>
  <si>
    <t xml:space="preserve">SMOTEENN paling efektif; stacking mengungguli model tunggal.</t>
  </si>
  <si>
    <t xml:space="preserve">Sedang: perbandingan resampling berguna, tapi juga contoh kesalahan metodologis yang harus dihindari.</t>
  </si>
  <si>
    <t xml:space="preserve">Rekap frekuensi teknik di 20 paper (rumus COUNTIF ke sheet 'Tabel Review')</t>
  </si>
  <si>
    <t xml:space="preserve">Aspek / Teknik</t>
  </si>
  <si>
    <t xml:space="preserve">Jumlah Paper</t>
  </si>
  <si>
    <t xml:space="preserve">Kolom Sumber</t>
  </si>
  <si>
    <t xml:space="preserve">Kategori: Retinopati (DR)</t>
  </si>
  <si>
    <t xml:space="preserve">Kategori: Ginjal (DKD)</t>
  </si>
  <si>
    <t xml:space="preserve">Kategori: Neuropati (DPN)</t>
  </si>
  <si>
    <t xml:space="preserve">Kategori: Vaskular (PVD)</t>
  </si>
  <si>
    <t xml:space="preserve">Kategori: Multi-komplikasi</t>
  </si>
  <si>
    <t xml:space="preserve">Kategori: Preprocessing</t>
  </si>
  <si>
    <t xml:space="preserve">Imputasi MICE / multiple imputation</t>
  </si>
  <si>
    <t xml:space="preserve">Imputasi mean / modus</t>
  </si>
  <si>
    <t xml:space="preserve">Imputasi KNN</t>
  </si>
  <si>
    <t xml:space="preserve">Imputasi MissForest</t>
  </si>
  <si>
    <t xml:space="preserve">Pasien dengan missing dikeluarkan</t>
  </si>
  <si>
    <t xml:space="preserve">Imbalance: SMOTE / variannya</t>
  </si>
  <si>
    <t xml:space="preserve">Imbalance: undersampling</t>
  </si>
  <si>
    <t xml:space="preserve">Imbalance: downsampling</t>
  </si>
  <si>
    <t xml:space="preserve">Seleksi fitur: RFE / RFECV</t>
  </si>
  <si>
    <t xml:space="preserve">Seleksi fitur: LASSO</t>
  </si>
  <si>
    <t xml:space="preserve">Seleksi fitur: Boruta</t>
  </si>
  <si>
    <t xml:space="preserve">Model diuji: XGBoost</t>
  </si>
  <si>
    <t xml:space="preserve">Model diuji: Random Forest</t>
  </si>
  <si>
    <t xml:space="preserve">Interpretabilitas: SHAP</t>
  </si>
  <si>
    <t xml:space="preserve">Interpretabilitas: Nomogram</t>
  </si>
  <si>
    <t xml:space="preserve">Validasi: K-fold CV</t>
  </si>
  <si>
    <t xml:space="preserve">Validasi: eksternal (RS lain)</t>
  </si>
  <si>
    <t xml:space="preserve">Data dari Tiongkok</t>
  </si>
  <si>
    <t xml:space="preserve">Total paper</t>
  </si>
  <si>
    <t xml:space="preserve">Catatan: hitungan berbasis pencocokan kata kunci, jadi periksa ulang jika isi tabel diubah.</t>
  </si>
</sst>
</file>

<file path=xl/styles.xml><?xml version="1.0" encoding="utf-8"?>
<styleSheet xmlns="http://schemas.openxmlformats.org/spreadsheetml/2006/main">
  <numFmts count="1">
    <numFmt numFmtId="164" formatCode="General"/>
  </numFmts>
  <fonts count="13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9"/>
      <name val="Arial"/>
      <family val="0"/>
      <charset val="1"/>
    </font>
    <font>
      <b val="true"/>
      <sz val="12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1"/>
      <name val="Arial"/>
      <family val="0"/>
      <charset val="1"/>
    </font>
    <font>
      <sz val="11"/>
      <color rgb="FF808080"/>
      <name val="Arial"/>
      <family val="0"/>
      <charset val="1"/>
    </font>
    <font>
      <b val="true"/>
      <sz val="11"/>
      <name val="Arial"/>
      <family val="0"/>
      <charset val="1"/>
    </font>
  </fonts>
  <fills count="4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F2F5FA"/>
        <bgColor rgb="FFFFFFFF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2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7" fillId="3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2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1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4">
    <dxf>
      <fill>
        <patternFill patternType="solid">
          <fgColor rgb="FF1F3864"/>
          <bgColor rgb="FF000000"/>
        </patternFill>
      </fill>
    </dxf>
    <dxf>
      <fill>
        <patternFill patternType="solid">
          <fgColor rgb="FFF2F5FA"/>
          <bgColor rgb="FF000000"/>
        </patternFill>
      </fill>
    </dxf>
    <dxf>
      <fill>
        <patternFill patternType="solid">
          <bgColor rgb="FF000000"/>
        </patternFill>
      </fill>
    </dxf>
    <dxf>
      <fill>
        <patternFill patternType="solid">
          <fgColor rgb="FFFFFFFF"/>
          <bgColor rgb="FF000000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5FA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A24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4" ySplit="4" topLeftCell="E5" activePane="bottomRight" state="frozen"/>
      <selection pane="topLeft" activeCell="A1" activeCellId="0" sqref="A1"/>
      <selection pane="topRight" activeCell="E1" activeCellId="0" sqref="E1"/>
      <selection pane="bottomLeft" activeCell="A5" activeCellId="0" sqref="A5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5"/>
    <col collapsed="false" customWidth="true" hidden="false" outlineLevel="0" max="2" min="2" style="0" width="14"/>
    <col collapsed="false" customWidth="true" hidden="false" outlineLevel="0" max="3" min="3" style="0" width="24"/>
    <col collapsed="false" customWidth="true" hidden="false" outlineLevel="0" max="4" min="4" style="0" width="7"/>
    <col collapsed="false" customWidth="true" hidden="false" outlineLevel="0" max="5" min="5" style="0" width="40"/>
    <col collapsed="false" customWidth="true" hidden="false" outlineLevel="0" max="6" min="6" style="0" width="24"/>
    <col collapsed="false" customWidth="true" hidden="false" outlineLevel="0" max="7" min="7" style="0" width="22"/>
    <col collapsed="false" customWidth="true" hidden="false" outlineLevel="0" max="8" min="8" style="0" width="12"/>
    <col collapsed="false" customWidth="true" hidden="false" outlineLevel="0" max="9" min="9" style="0" width="20"/>
    <col collapsed="false" customWidth="true" hidden="false" outlineLevel="0" max="12" min="10" style="0" width="34"/>
    <col collapsed="false" customWidth="true" hidden="false" outlineLevel="0" max="13" min="13" style="0" width="18"/>
    <col collapsed="false" customWidth="true" hidden="false" outlineLevel="0" max="14" min="14" style="0" width="30"/>
    <col collapsed="false" customWidth="true" hidden="false" outlineLevel="0" max="15" min="15" style="0" width="24"/>
    <col collapsed="false" customWidth="true" hidden="false" outlineLevel="0" max="16" min="16" style="0" width="34"/>
    <col collapsed="false" customWidth="true" hidden="false" outlineLevel="0" max="17" min="17" style="0" width="20"/>
    <col collapsed="false" customWidth="true" hidden="false" outlineLevel="0" max="18" min="18" style="0" width="28"/>
    <col collapsed="false" customWidth="true" hidden="false" outlineLevel="0" max="19" min="19" style="0" width="30"/>
    <col collapsed="false" customWidth="true" hidden="false" outlineLevel="0" max="20" min="20" style="0" width="22"/>
    <col collapsed="false" customWidth="true" hidden="false" outlineLevel="0" max="21" min="21" style="0" width="26"/>
    <col collapsed="false" customWidth="true" hidden="false" outlineLevel="0" max="22" min="22" style="0" width="34"/>
    <col collapsed="false" customWidth="true" hidden="false" outlineLevel="0" max="23" min="23" style="0" width="30"/>
    <col collapsed="false" customWidth="true" hidden="false" outlineLevel="0" max="24" min="24" style="0" width="38"/>
    <col collapsed="false" customWidth="true" hidden="false" outlineLevel="0" max="26" min="25" style="0" width="30"/>
    <col collapsed="false" customWidth="true" hidden="false" outlineLevel="0" max="27" min="27" style="0" width="10"/>
  </cols>
  <sheetData>
    <row r="1" customFormat="false" ht="16.15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</row>
    <row r="2" customFormat="false" ht="15" hidden="false" customHeight="fals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  <c r="AA2" s="2"/>
    </row>
    <row r="4" customFormat="false" ht="43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  <c r="J4" s="3" t="s">
        <v>11</v>
      </c>
      <c r="K4" s="3" t="s">
        <v>12</v>
      </c>
      <c r="L4" s="3" t="s">
        <v>13</v>
      </c>
      <c r="M4" s="3" t="s">
        <v>14</v>
      </c>
      <c r="N4" s="3" t="s">
        <v>15</v>
      </c>
      <c r="O4" s="3" t="s">
        <v>16</v>
      </c>
      <c r="P4" s="3" t="s">
        <v>17</v>
      </c>
      <c r="Q4" s="3" t="s">
        <v>18</v>
      </c>
      <c r="R4" s="3" t="s">
        <v>19</v>
      </c>
      <c r="S4" s="3" t="s">
        <v>20</v>
      </c>
      <c r="T4" s="3" t="s">
        <v>21</v>
      </c>
      <c r="U4" s="3" t="s">
        <v>22</v>
      </c>
      <c r="V4" s="3" t="s">
        <v>23</v>
      </c>
      <c r="W4" s="3" t="s">
        <v>24</v>
      </c>
      <c r="X4" s="3" t="s">
        <v>25</v>
      </c>
      <c r="Y4" s="3" t="s">
        <v>26</v>
      </c>
      <c r="Z4" s="3" t="s">
        <v>27</v>
      </c>
      <c r="AA4" s="3" t="s">
        <v>28</v>
      </c>
    </row>
    <row r="5" customFormat="false" ht="53.7" hidden="false" customHeight="false" outlineLevel="0" collapsed="false">
      <c r="A5" s="4" t="n">
        <v>1</v>
      </c>
      <c r="B5" s="4" t="s">
        <v>29</v>
      </c>
      <c r="C5" s="4" t="s">
        <v>30</v>
      </c>
      <c r="D5" s="4" t="n">
        <v>2024</v>
      </c>
      <c r="E5" s="4" t="s">
        <v>31</v>
      </c>
      <c r="F5" s="4" t="s">
        <v>32</v>
      </c>
      <c r="G5" s="4" t="s">
        <v>33</v>
      </c>
      <c r="H5" s="4" t="s">
        <v>34</v>
      </c>
      <c r="I5" s="4" t="s">
        <v>35</v>
      </c>
      <c r="J5" s="4" t="s">
        <v>36</v>
      </c>
      <c r="K5" s="4" t="s">
        <v>37</v>
      </c>
      <c r="L5" s="4" t="s">
        <v>38</v>
      </c>
      <c r="M5" s="4" t="s">
        <v>39</v>
      </c>
      <c r="N5" s="4" t="s">
        <v>40</v>
      </c>
      <c r="O5" s="4" t="s">
        <v>41</v>
      </c>
      <c r="P5" s="4" t="s">
        <v>42</v>
      </c>
      <c r="Q5" s="4" t="s">
        <v>43</v>
      </c>
      <c r="R5" s="4" t="s">
        <v>44</v>
      </c>
      <c r="S5" s="4" t="s">
        <v>45</v>
      </c>
      <c r="T5" s="4" t="s">
        <v>46</v>
      </c>
      <c r="U5" s="4" t="s">
        <v>47</v>
      </c>
      <c r="V5" s="4" t="s">
        <v>48</v>
      </c>
      <c r="W5" s="4" t="s">
        <v>49</v>
      </c>
      <c r="X5" s="4" t="s">
        <v>50</v>
      </c>
      <c r="Y5" s="4" t="s">
        <v>51</v>
      </c>
      <c r="Z5" s="4" t="s">
        <v>52</v>
      </c>
      <c r="AA5" s="4" t="s">
        <v>53</v>
      </c>
    </row>
    <row r="6" customFormat="false" ht="43.25" hidden="false" customHeight="false" outlineLevel="0" collapsed="false">
      <c r="A6" s="5" t="n">
        <v>2</v>
      </c>
      <c r="B6" s="5" t="s">
        <v>29</v>
      </c>
      <c r="C6" s="5" t="s">
        <v>54</v>
      </c>
      <c r="D6" s="5" t="n">
        <v>2024</v>
      </c>
      <c r="E6" s="5" t="s">
        <v>55</v>
      </c>
      <c r="F6" s="5" t="s">
        <v>56</v>
      </c>
      <c r="G6" s="5" t="s">
        <v>57</v>
      </c>
      <c r="H6" s="5" t="s">
        <v>58</v>
      </c>
      <c r="I6" s="5" t="s">
        <v>59</v>
      </c>
      <c r="J6" s="5" t="s">
        <v>60</v>
      </c>
      <c r="K6" s="5" t="s">
        <v>61</v>
      </c>
      <c r="L6" s="5" t="s">
        <v>62</v>
      </c>
      <c r="M6" s="5" t="s">
        <v>39</v>
      </c>
      <c r="N6" s="5" t="s">
        <v>63</v>
      </c>
      <c r="O6" s="5" t="s">
        <v>64</v>
      </c>
      <c r="P6" s="5" t="s">
        <v>65</v>
      </c>
      <c r="Q6" s="5" t="s">
        <v>66</v>
      </c>
      <c r="R6" s="5" t="s">
        <v>67</v>
      </c>
      <c r="S6" s="5" t="s">
        <v>68</v>
      </c>
      <c r="T6" s="5" t="s">
        <v>69</v>
      </c>
      <c r="U6" s="5" t="s">
        <v>70</v>
      </c>
      <c r="V6" s="5" t="s">
        <v>71</v>
      </c>
      <c r="W6" s="5" t="s">
        <v>72</v>
      </c>
      <c r="X6" s="5" t="s">
        <v>73</v>
      </c>
      <c r="Y6" s="5" t="s">
        <v>74</v>
      </c>
      <c r="Z6" s="5" t="s">
        <v>75</v>
      </c>
      <c r="AA6" s="5" t="s">
        <v>53</v>
      </c>
    </row>
    <row r="7" customFormat="false" ht="43.25" hidden="false" customHeight="false" outlineLevel="0" collapsed="false">
      <c r="A7" s="4" t="n">
        <v>3</v>
      </c>
      <c r="B7" s="4" t="s">
        <v>29</v>
      </c>
      <c r="C7" s="4" t="s">
        <v>76</v>
      </c>
      <c r="D7" s="4" t="n">
        <v>2025</v>
      </c>
      <c r="E7" s="4" t="s">
        <v>77</v>
      </c>
      <c r="F7" s="4" t="s">
        <v>78</v>
      </c>
      <c r="G7" s="4" t="s">
        <v>79</v>
      </c>
      <c r="H7" s="4" t="s">
        <v>58</v>
      </c>
      <c r="I7" s="4" t="s">
        <v>80</v>
      </c>
      <c r="J7" s="4" t="s">
        <v>81</v>
      </c>
      <c r="K7" s="4" t="s">
        <v>82</v>
      </c>
      <c r="L7" s="4" t="s">
        <v>83</v>
      </c>
      <c r="M7" s="4" t="s">
        <v>39</v>
      </c>
      <c r="N7" s="4" t="s">
        <v>84</v>
      </c>
      <c r="O7" s="4" t="s">
        <v>85</v>
      </c>
      <c r="P7" s="4" t="s">
        <v>86</v>
      </c>
      <c r="Q7" s="4" t="s">
        <v>87</v>
      </c>
      <c r="R7" s="4" t="s">
        <v>88</v>
      </c>
      <c r="S7" s="4" t="s">
        <v>89</v>
      </c>
      <c r="T7" s="4" t="s">
        <v>90</v>
      </c>
      <c r="U7" s="4" t="s">
        <v>91</v>
      </c>
      <c r="V7" s="4" t="s">
        <v>92</v>
      </c>
      <c r="W7" s="4" t="s">
        <v>93</v>
      </c>
      <c r="X7" s="4" t="s">
        <v>94</v>
      </c>
      <c r="Y7" s="4" t="s">
        <v>95</v>
      </c>
      <c r="Z7" s="4" t="s">
        <v>96</v>
      </c>
      <c r="AA7" s="4" t="s">
        <v>53</v>
      </c>
    </row>
    <row r="8" customFormat="false" ht="32.8" hidden="false" customHeight="false" outlineLevel="0" collapsed="false">
      <c r="A8" s="5" t="n">
        <v>4</v>
      </c>
      <c r="B8" s="5" t="s">
        <v>29</v>
      </c>
      <c r="C8" s="5" t="s">
        <v>97</v>
      </c>
      <c r="D8" s="5" t="n">
        <v>2025</v>
      </c>
      <c r="E8" s="5" t="s">
        <v>98</v>
      </c>
      <c r="F8" s="5" t="s">
        <v>99</v>
      </c>
      <c r="G8" s="5" t="s">
        <v>100</v>
      </c>
      <c r="H8" s="5" t="s">
        <v>58</v>
      </c>
      <c r="I8" s="5" t="s">
        <v>101</v>
      </c>
      <c r="J8" s="5" t="s">
        <v>102</v>
      </c>
      <c r="K8" s="5" t="s">
        <v>103</v>
      </c>
      <c r="L8" s="5" t="s">
        <v>104</v>
      </c>
      <c r="M8" s="5" t="s">
        <v>39</v>
      </c>
      <c r="N8" s="5" t="s">
        <v>105</v>
      </c>
      <c r="O8" s="5" t="s">
        <v>106</v>
      </c>
      <c r="P8" s="5" t="s">
        <v>107</v>
      </c>
      <c r="Q8" s="5" t="s">
        <v>108</v>
      </c>
      <c r="R8" s="5" t="s">
        <v>109</v>
      </c>
      <c r="S8" s="5" t="s">
        <v>110</v>
      </c>
      <c r="T8" s="5" t="s">
        <v>111</v>
      </c>
      <c r="U8" s="5" t="s">
        <v>112</v>
      </c>
      <c r="V8" s="5" t="s">
        <v>113</v>
      </c>
      <c r="W8" s="5" t="s">
        <v>114</v>
      </c>
      <c r="X8" s="5" t="s">
        <v>115</v>
      </c>
      <c r="Y8" s="5" t="s">
        <v>116</v>
      </c>
      <c r="Z8" s="5" t="s">
        <v>117</v>
      </c>
      <c r="AA8" s="5" t="s">
        <v>53</v>
      </c>
    </row>
    <row r="9" customFormat="false" ht="43.25" hidden="false" customHeight="false" outlineLevel="0" collapsed="false">
      <c r="A9" s="4" t="n">
        <v>5</v>
      </c>
      <c r="B9" s="4" t="s">
        <v>29</v>
      </c>
      <c r="C9" s="4" t="s">
        <v>118</v>
      </c>
      <c r="D9" s="4" t="n">
        <v>2023</v>
      </c>
      <c r="E9" s="4" t="s">
        <v>119</v>
      </c>
      <c r="F9" s="4" t="s">
        <v>120</v>
      </c>
      <c r="G9" s="4" t="s">
        <v>121</v>
      </c>
      <c r="H9" s="4" t="s">
        <v>58</v>
      </c>
      <c r="I9" s="4" t="s">
        <v>122</v>
      </c>
      <c r="J9" s="4" t="s">
        <v>123</v>
      </c>
      <c r="K9" s="4" t="s">
        <v>124</v>
      </c>
      <c r="L9" s="4" t="s">
        <v>125</v>
      </c>
      <c r="M9" s="4" t="s">
        <v>126</v>
      </c>
      <c r="N9" s="4" t="s">
        <v>127</v>
      </c>
      <c r="O9" s="4" t="s">
        <v>128</v>
      </c>
      <c r="P9" s="4" t="s">
        <v>129</v>
      </c>
      <c r="Q9" s="4" t="s">
        <v>130</v>
      </c>
      <c r="R9" s="4" t="s">
        <v>131</v>
      </c>
      <c r="S9" s="4" t="s">
        <v>132</v>
      </c>
      <c r="T9" s="4" t="s">
        <v>133</v>
      </c>
      <c r="U9" s="4" t="s">
        <v>134</v>
      </c>
      <c r="V9" s="4" t="s">
        <v>135</v>
      </c>
      <c r="W9" s="4" t="s">
        <v>136</v>
      </c>
      <c r="X9" s="4" t="s">
        <v>137</v>
      </c>
      <c r="Y9" s="4" t="s">
        <v>138</v>
      </c>
      <c r="Z9" s="4" t="s">
        <v>139</v>
      </c>
      <c r="AA9" s="4" t="s">
        <v>53</v>
      </c>
    </row>
    <row r="10" customFormat="false" ht="43.25" hidden="false" customHeight="false" outlineLevel="0" collapsed="false">
      <c r="A10" s="5" t="n">
        <v>6</v>
      </c>
      <c r="B10" s="5" t="s">
        <v>29</v>
      </c>
      <c r="C10" s="5" t="s">
        <v>140</v>
      </c>
      <c r="D10" s="5" t="n">
        <v>2025</v>
      </c>
      <c r="E10" s="5" t="s">
        <v>141</v>
      </c>
      <c r="F10" s="5" t="s">
        <v>142</v>
      </c>
      <c r="G10" s="5" t="s">
        <v>143</v>
      </c>
      <c r="H10" s="5" t="s">
        <v>34</v>
      </c>
      <c r="I10" s="5" t="s">
        <v>144</v>
      </c>
      <c r="J10" s="5" t="s">
        <v>145</v>
      </c>
      <c r="K10" s="5" t="s">
        <v>146</v>
      </c>
      <c r="L10" s="5" t="s">
        <v>147</v>
      </c>
      <c r="M10" s="5" t="s">
        <v>148</v>
      </c>
      <c r="N10" s="5" t="s">
        <v>149</v>
      </c>
      <c r="O10" s="5" t="s">
        <v>150</v>
      </c>
      <c r="P10" s="5" t="s">
        <v>151</v>
      </c>
      <c r="Q10" s="5" t="s">
        <v>152</v>
      </c>
      <c r="R10" s="5" t="s">
        <v>153</v>
      </c>
      <c r="S10" s="5" t="s">
        <v>154</v>
      </c>
      <c r="T10" s="5" t="s">
        <v>155</v>
      </c>
      <c r="U10" s="5" t="s">
        <v>156</v>
      </c>
      <c r="V10" s="5" t="s">
        <v>157</v>
      </c>
      <c r="W10" s="5" t="s">
        <v>158</v>
      </c>
      <c r="X10" s="5" t="s">
        <v>159</v>
      </c>
      <c r="Y10" s="5" t="s">
        <v>160</v>
      </c>
      <c r="Z10" s="5" t="s">
        <v>161</v>
      </c>
      <c r="AA10" s="5" t="s">
        <v>53</v>
      </c>
    </row>
    <row r="11" customFormat="false" ht="43.25" hidden="false" customHeight="false" outlineLevel="0" collapsed="false">
      <c r="A11" s="4" t="n">
        <v>7</v>
      </c>
      <c r="B11" s="4" t="s">
        <v>162</v>
      </c>
      <c r="C11" s="4" t="s">
        <v>163</v>
      </c>
      <c r="D11" s="4" t="n">
        <v>2023</v>
      </c>
      <c r="E11" s="4" t="s">
        <v>164</v>
      </c>
      <c r="F11" s="4" t="s">
        <v>165</v>
      </c>
      <c r="G11" s="4" t="s">
        <v>166</v>
      </c>
      <c r="H11" s="4" t="s">
        <v>58</v>
      </c>
      <c r="I11" s="4" t="s">
        <v>167</v>
      </c>
      <c r="J11" s="4" t="s">
        <v>168</v>
      </c>
      <c r="K11" s="4" t="s">
        <v>169</v>
      </c>
      <c r="L11" s="4" t="s">
        <v>170</v>
      </c>
      <c r="M11" s="4" t="s">
        <v>171</v>
      </c>
      <c r="N11" s="4" t="s">
        <v>172</v>
      </c>
      <c r="O11" s="4" t="s">
        <v>173</v>
      </c>
      <c r="P11" s="4" t="s">
        <v>174</v>
      </c>
      <c r="Q11" s="4" t="s">
        <v>175</v>
      </c>
      <c r="R11" s="4" t="s">
        <v>176</v>
      </c>
      <c r="S11" s="4" t="s">
        <v>177</v>
      </c>
      <c r="T11" s="4" t="s">
        <v>178</v>
      </c>
      <c r="U11" s="4" t="s">
        <v>179</v>
      </c>
      <c r="V11" s="4" t="s">
        <v>180</v>
      </c>
      <c r="W11" s="4" t="s">
        <v>181</v>
      </c>
      <c r="X11" s="4" t="s">
        <v>182</v>
      </c>
      <c r="Y11" s="4" t="s">
        <v>183</v>
      </c>
      <c r="Z11" s="4" t="s">
        <v>184</v>
      </c>
      <c r="AA11" s="4" t="s">
        <v>53</v>
      </c>
    </row>
    <row r="12" customFormat="false" ht="32.8" hidden="false" customHeight="false" outlineLevel="0" collapsed="false">
      <c r="A12" s="5" t="n">
        <v>8</v>
      </c>
      <c r="B12" s="5" t="s">
        <v>162</v>
      </c>
      <c r="C12" s="5" t="s">
        <v>185</v>
      </c>
      <c r="D12" s="5" t="n">
        <v>2023</v>
      </c>
      <c r="E12" s="5" t="s">
        <v>186</v>
      </c>
      <c r="F12" s="5" t="s">
        <v>187</v>
      </c>
      <c r="G12" s="5" t="s">
        <v>188</v>
      </c>
      <c r="H12" s="5" t="s">
        <v>34</v>
      </c>
      <c r="I12" s="5" t="s">
        <v>189</v>
      </c>
      <c r="J12" s="5" t="s">
        <v>190</v>
      </c>
      <c r="K12" s="5" t="s">
        <v>191</v>
      </c>
      <c r="L12" s="5" t="s">
        <v>192</v>
      </c>
      <c r="M12" s="5" t="s">
        <v>193</v>
      </c>
      <c r="N12" s="5" t="s">
        <v>194</v>
      </c>
      <c r="O12" s="5" t="s">
        <v>195</v>
      </c>
      <c r="P12" s="5" t="s">
        <v>196</v>
      </c>
      <c r="Q12" s="5" t="s">
        <v>197</v>
      </c>
      <c r="R12" s="5" t="s">
        <v>198</v>
      </c>
      <c r="S12" s="5" t="s">
        <v>199</v>
      </c>
      <c r="T12" s="5" t="s">
        <v>200</v>
      </c>
      <c r="U12" s="5" t="s">
        <v>201</v>
      </c>
      <c r="V12" s="5" t="s">
        <v>202</v>
      </c>
      <c r="W12" s="5" t="s">
        <v>203</v>
      </c>
      <c r="X12" s="5" t="s">
        <v>204</v>
      </c>
      <c r="Y12" s="5" t="s">
        <v>205</v>
      </c>
      <c r="Z12" s="5" t="s">
        <v>206</v>
      </c>
      <c r="AA12" s="5" t="s">
        <v>53</v>
      </c>
    </row>
    <row r="13" customFormat="false" ht="32.8" hidden="false" customHeight="false" outlineLevel="0" collapsed="false">
      <c r="A13" s="4" t="n">
        <v>9</v>
      </c>
      <c r="B13" s="4" t="s">
        <v>162</v>
      </c>
      <c r="C13" s="4" t="s">
        <v>207</v>
      </c>
      <c r="D13" s="4" t="n">
        <v>2024</v>
      </c>
      <c r="E13" s="4" t="s">
        <v>208</v>
      </c>
      <c r="F13" s="4" t="s">
        <v>209</v>
      </c>
      <c r="G13" s="4" t="s">
        <v>210</v>
      </c>
      <c r="H13" s="4" t="s">
        <v>211</v>
      </c>
      <c r="I13" s="4" t="s">
        <v>212</v>
      </c>
      <c r="J13" s="4" t="s">
        <v>213</v>
      </c>
      <c r="K13" s="4" t="s">
        <v>214</v>
      </c>
      <c r="L13" s="4" t="s">
        <v>215</v>
      </c>
      <c r="M13" s="4" t="s">
        <v>216</v>
      </c>
      <c r="N13" s="4" t="s">
        <v>217</v>
      </c>
      <c r="O13" s="4" t="s">
        <v>218</v>
      </c>
      <c r="P13" s="4" t="s">
        <v>219</v>
      </c>
      <c r="Q13" s="4" t="s">
        <v>130</v>
      </c>
      <c r="R13" s="4" t="s">
        <v>220</v>
      </c>
      <c r="S13" s="4" t="s">
        <v>221</v>
      </c>
      <c r="T13" s="4" t="s">
        <v>222</v>
      </c>
      <c r="U13" s="4" t="s">
        <v>223</v>
      </c>
      <c r="V13" s="4" t="s">
        <v>224</v>
      </c>
      <c r="W13" s="4" t="s">
        <v>225</v>
      </c>
      <c r="X13" s="4" t="s">
        <v>226</v>
      </c>
      <c r="Y13" s="4" t="s">
        <v>227</v>
      </c>
      <c r="Z13" s="4" t="s">
        <v>228</v>
      </c>
      <c r="AA13" s="4" t="s">
        <v>53</v>
      </c>
    </row>
    <row r="14" customFormat="false" ht="43.25" hidden="false" customHeight="false" outlineLevel="0" collapsed="false">
      <c r="A14" s="5" t="n">
        <v>10</v>
      </c>
      <c r="B14" s="5" t="s">
        <v>162</v>
      </c>
      <c r="C14" s="5" t="s">
        <v>229</v>
      </c>
      <c r="D14" s="5" t="n">
        <v>2025</v>
      </c>
      <c r="E14" s="5" t="s">
        <v>230</v>
      </c>
      <c r="F14" s="5" t="s">
        <v>231</v>
      </c>
      <c r="G14" s="5" t="s">
        <v>232</v>
      </c>
      <c r="H14" s="5" t="s">
        <v>58</v>
      </c>
      <c r="I14" s="5" t="s">
        <v>233</v>
      </c>
      <c r="J14" s="5" t="s">
        <v>234</v>
      </c>
      <c r="K14" s="5" t="s">
        <v>235</v>
      </c>
      <c r="L14" s="5" t="s">
        <v>236</v>
      </c>
      <c r="M14" s="5" t="s">
        <v>237</v>
      </c>
      <c r="N14" s="5" t="s">
        <v>238</v>
      </c>
      <c r="O14" s="5" t="s">
        <v>239</v>
      </c>
      <c r="P14" s="5" t="s">
        <v>240</v>
      </c>
      <c r="Q14" s="5" t="s">
        <v>175</v>
      </c>
      <c r="R14" s="5" t="s">
        <v>241</v>
      </c>
      <c r="S14" s="5" t="s">
        <v>242</v>
      </c>
      <c r="T14" s="5" t="s">
        <v>243</v>
      </c>
      <c r="U14" s="5" t="s">
        <v>244</v>
      </c>
      <c r="V14" s="5" t="s">
        <v>245</v>
      </c>
      <c r="W14" s="5" t="s">
        <v>246</v>
      </c>
      <c r="X14" s="5" t="s">
        <v>247</v>
      </c>
      <c r="Y14" s="5" t="s">
        <v>248</v>
      </c>
      <c r="Z14" s="5" t="s">
        <v>249</v>
      </c>
      <c r="AA14" s="5" t="s">
        <v>53</v>
      </c>
    </row>
    <row r="15" customFormat="false" ht="43.25" hidden="false" customHeight="false" outlineLevel="0" collapsed="false">
      <c r="A15" s="4" t="n">
        <v>11</v>
      </c>
      <c r="B15" s="4" t="s">
        <v>162</v>
      </c>
      <c r="C15" s="4" t="s">
        <v>250</v>
      </c>
      <c r="D15" s="4" t="n">
        <v>2025</v>
      </c>
      <c r="E15" s="4" t="s">
        <v>251</v>
      </c>
      <c r="F15" s="4" t="s">
        <v>252</v>
      </c>
      <c r="G15" s="4" t="s">
        <v>253</v>
      </c>
      <c r="H15" s="4" t="s">
        <v>34</v>
      </c>
      <c r="I15" s="4" t="s">
        <v>254</v>
      </c>
      <c r="J15" s="4" t="s">
        <v>255</v>
      </c>
      <c r="K15" s="4" t="s">
        <v>256</v>
      </c>
      <c r="L15" s="4" t="s">
        <v>257</v>
      </c>
      <c r="M15" s="4" t="s">
        <v>258</v>
      </c>
      <c r="N15" s="4" t="s">
        <v>259</v>
      </c>
      <c r="O15" s="4" t="s">
        <v>260</v>
      </c>
      <c r="P15" s="4" t="s">
        <v>261</v>
      </c>
      <c r="Q15" s="4" t="s">
        <v>130</v>
      </c>
      <c r="R15" s="4" t="s">
        <v>262</v>
      </c>
      <c r="S15" s="4" t="s">
        <v>263</v>
      </c>
      <c r="T15" s="4" t="s">
        <v>264</v>
      </c>
      <c r="U15" s="4" t="s">
        <v>265</v>
      </c>
      <c r="V15" s="4" t="s">
        <v>266</v>
      </c>
      <c r="W15" s="4" t="s">
        <v>267</v>
      </c>
      <c r="X15" s="4" t="s">
        <v>268</v>
      </c>
      <c r="Y15" s="4" t="s">
        <v>269</v>
      </c>
      <c r="Z15" s="4" t="s">
        <v>270</v>
      </c>
      <c r="AA15" s="4" t="s">
        <v>53</v>
      </c>
    </row>
    <row r="16" customFormat="false" ht="43.25" hidden="false" customHeight="false" outlineLevel="0" collapsed="false">
      <c r="A16" s="5" t="n">
        <v>12</v>
      </c>
      <c r="B16" s="5" t="s">
        <v>162</v>
      </c>
      <c r="C16" s="5" t="s">
        <v>271</v>
      </c>
      <c r="D16" s="5" t="n">
        <v>2026</v>
      </c>
      <c r="E16" s="5" t="s">
        <v>272</v>
      </c>
      <c r="F16" s="5" t="s">
        <v>273</v>
      </c>
      <c r="G16" s="5" t="s">
        <v>274</v>
      </c>
      <c r="H16" s="5" t="s">
        <v>58</v>
      </c>
      <c r="I16" s="5" t="s">
        <v>275</v>
      </c>
      <c r="J16" s="5" t="s">
        <v>276</v>
      </c>
      <c r="K16" s="5" t="s">
        <v>277</v>
      </c>
      <c r="L16" s="5" t="s">
        <v>278</v>
      </c>
      <c r="M16" s="5" t="s">
        <v>171</v>
      </c>
      <c r="N16" s="5" t="s">
        <v>279</v>
      </c>
      <c r="O16" s="5" t="s">
        <v>280</v>
      </c>
      <c r="P16" s="5" t="s">
        <v>281</v>
      </c>
      <c r="Q16" s="5" t="s">
        <v>282</v>
      </c>
      <c r="R16" s="5" t="s">
        <v>283</v>
      </c>
      <c r="S16" s="5" t="s">
        <v>284</v>
      </c>
      <c r="T16" s="5" t="s">
        <v>285</v>
      </c>
      <c r="U16" s="5" t="s">
        <v>286</v>
      </c>
      <c r="V16" s="5" t="s">
        <v>287</v>
      </c>
      <c r="W16" s="5" t="s">
        <v>288</v>
      </c>
      <c r="X16" s="5" t="s">
        <v>289</v>
      </c>
      <c r="Y16" s="5" t="s">
        <v>290</v>
      </c>
      <c r="Z16" s="5" t="s">
        <v>291</v>
      </c>
      <c r="AA16" s="5" t="s">
        <v>53</v>
      </c>
    </row>
    <row r="17" customFormat="false" ht="32.8" hidden="false" customHeight="false" outlineLevel="0" collapsed="false">
      <c r="A17" s="4" t="n">
        <v>13</v>
      </c>
      <c r="B17" s="4" t="s">
        <v>292</v>
      </c>
      <c r="C17" s="4" t="s">
        <v>293</v>
      </c>
      <c r="D17" s="4" t="n">
        <v>2025</v>
      </c>
      <c r="E17" s="4" t="s">
        <v>294</v>
      </c>
      <c r="F17" s="4" t="s">
        <v>295</v>
      </c>
      <c r="G17" s="4" t="s">
        <v>296</v>
      </c>
      <c r="H17" s="4" t="s">
        <v>58</v>
      </c>
      <c r="I17" s="4" t="s">
        <v>297</v>
      </c>
      <c r="J17" s="4" t="s">
        <v>298</v>
      </c>
      <c r="K17" s="4" t="s">
        <v>299</v>
      </c>
      <c r="L17" s="4" t="s">
        <v>300</v>
      </c>
      <c r="M17" s="4" t="s">
        <v>301</v>
      </c>
      <c r="N17" s="4" t="s">
        <v>302</v>
      </c>
      <c r="O17" s="4" t="s">
        <v>303</v>
      </c>
      <c r="P17" s="4" t="s">
        <v>304</v>
      </c>
      <c r="Q17" s="4" t="s">
        <v>305</v>
      </c>
      <c r="R17" s="4" t="s">
        <v>306</v>
      </c>
      <c r="S17" s="4" t="s">
        <v>307</v>
      </c>
      <c r="T17" s="4" t="s">
        <v>308</v>
      </c>
      <c r="U17" s="4" t="s">
        <v>309</v>
      </c>
      <c r="V17" s="4" t="s">
        <v>310</v>
      </c>
      <c r="W17" s="4" t="s">
        <v>311</v>
      </c>
      <c r="X17" s="4" t="s">
        <v>312</v>
      </c>
      <c r="Y17" s="4" t="s">
        <v>313</v>
      </c>
      <c r="Z17" s="4" t="s">
        <v>314</v>
      </c>
      <c r="AA17" s="4" t="s">
        <v>53</v>
      </c>
    </row>
    <row r="18" customFormat="false" ht="43.25" hidden="false" customHeight="false" outlineLevel="0" collapsed="false">
      <c r="A18" s="5" t="n">
        <v>14</v>
      </c>
      <c r="B18" s="5" t="s">
        <v>292</v>
      </c>
      <c r="C18" s="5" t="s">
        <v>315</v>
      </c>
      <c r="D18" s="5" t="n">
        <v>2024</v>
      </c>
      <c r="E18" s="5" t="s">
        <v>316</v>
      </c>
      <c r="F18" s="5" t="s">
        <v>317</v>
      </c>
      <c r="G18" s="5" t="s">
        <v>318</v>
      </c>
      <c r="H18" s="5" t="s">
        <v>319</v>
      </c>
      <c r="I18" s="5" t="s">
        <v>320</v>
      </c>
      <c r="J18" s="5" t="s">
        <v>321</v>
      </c>
      <c r="K18" s="5" t="s">
        <v>322</v>
      </c>
      <c r="L18" s="5" t="s">
        <v>323</v>
      </c>
      <c r="M18" s="5" t="s">
        <v>324</v>
      </c>
      <c r="N18" s="5" t="s">
        <v>325</v>
      </c>
      <c r="O18" s="5" t="s">
        <v>326</v>
      </c>
      <c r="P18" s="5" t="s">
        <v>327</v>
      </c>
      <c r="Q18" s="5" t="s">
        <v>130</v>
      </c>
      <c r="R18" s="5" t="s">
        <v>328</v>
      </c>
      <c r="S18" s="5" t="s">
        <v>329</v>
      </c>
      <c r="T18" s="5" t="s">
        <v>330</v>
      </c>
      <c r="U18" s="5" t="s">
        <v>331</v>
      </c>
      <c r="V18" s="5" t="s">
        <v>332</v>
      </c>
      <c r="W18" s="5" t="s">
        <v>333</v>
      </c>
      <c r="X18" s="5" t="s">
        <v>334</v>
      </c>
      <c r="Y18" s="5" t="s">
        <v>335</v>
      </c>
      <c r="Z18" s="5" t="s">
        <v>336</v>
      </c>
      <c r="AA18" s="5" t="s">
        <v>53</v>
      </c>
    </row>
    <row r="19" customFormat="false" ht="43.25" hidden="false" customHeight="false" outlineLevel="0" collapsed="false">
      <c r="A19" s="4" t="n">
        <v>15</v>
      </c>
      <c r="B19" s="4" t="s">
        <v>337</v>
      </c>
      <c r="C19" s="4" t="s">
        <v>338</v>
      </c>
      <c r="D19" s="4" t="n">
        <v>2024</v>
      </c>
      <c r="E19" s="4" t="s">
        <v>339</v>
      </c>
      <c r="F19" s="4" t="s">
        <v>340</v>
      </c>
      <c r="G19" s="4" t="s">
        <v>341</v>
      </c>
      <c r="H19" s="4" t="s">
        <v>58</v>
      </c>
      <c r="I19" s="4" t="s">
        <v>342</v>
      </c>
      <c r="J19" s="4" t="s">
        <v>343</v>
      </c>
      <c r="K19" s="4" t="s">
        <v>344</v>
      </c>
      <c r="L19" s="4" t="s">
        <v>345</v>
      </c>
      <c r="M19" s="4" t="s">
        <v>346</v>
      </c>
      <c r="N19" s="4" t="s">
        <v>347</v>
      </c>
      <c r="O19" s="4" t="s">
        <v>348</v>
      </c>
      <c r="P19" s="4" t="s">
        <v>349</v>
      </c>
      <c r="Q19" s="4" t="s">
        <v>350</v>
      </c>
      <c r="R19" s="4" t="s">
        <v>351</v>
      </c>
      <c r="S19" s="4" t="s">
        <v>352</v>
      </c>
      <c r="T19" s="4" t="s">
        <v>353</v>
      </c>
      <c r="U19" s="4" t="s">
        <v>354</v>
      </c>
      <c r="V19" s="4" t="s">
        <v>355</v>
      </c>
      <c r="W19" s="4" t="s">
        <v>356</v>
      </c>
      <c r="X19" s="4" t="s">
        <v>357</v>
      </c>
      <c r="Y19" s="4" t="s">
        <v>358</v>
      </c>
      <c r="Z19" s="4" t="s">
        <v>359</v>
      </c>
      <c r="AA19" s="4" t="s">
        <v>53</v>
      </c>
    </row>
    <row r="20" customFormat="false" ht="43.25" hidden="false" customHeight="false" outlineLevel="0" collapsed="false">
      <c r="A20" s="5" t="n">
        <v>16</v>
      </c>
      <c r="B20" s="5" t="s">
        <v>360</v>
      </c>
      <c r="C20" s="5" t="s">
        <v>361</v>
      </c>
      <c r="D20" s="5" t="n">
        <v>2024</v>
      </c>
      <c r="E20" s="5" t="s">
        <v>362</v>
      </c>
      <c r="F20" s="5" t="s">
        <v>363</v>
      </c>
      <c r="G20" s="5" t="s">
        <v>364</v>
      </c>
      <c r="H20" s="5" t="s">
        <v>34</v>
      </c>
      <c r="I20" s="5" t="s">
        <v>365</v>
      </c>
      <c r="J20" s="5" t="s">
        <v>366</v>
      </c>
      <c r="K20" s="5" t="s">
        <v>367</v>
      </c>
      <c r="L20" s="5" t="s">
        <v>368</v>
      </c>
      <c r="M20" s="5" t="s">
        <v>369</v>
      </c>
      <c r="N20" s="5" t="s">
        <v>370</v>
      </c>
      <c r="O20" s="5" t="s">
        <v>371</v>
      </c>
      <c r="P20" s="5" t="s">
        <v>372</v>
      </c>
      <c r="Q20" s="5" t="s">
        <v>373</v>
      </c>
      <c r="R20" s="5" t="s">
        <v>374</v>
      </c>
      <c r="S20" s="5" t="s">
        <v>375</v>
      </c>
      <c r="T20" s="5" t="s">
        <v>376</v>
      </c>
      <c r="U20" s="5" t="s">
        <v>377</v>
      </c>
      <c r="V20" s="5" t="s">
        <v>378</v>
      </c>
      <c r="W20" s="5" t="s">
        <v>379</v>
      </c>
      <c r="X20" s="5" t="s">
        <v>380</v>
      </c>
      <c r="Y20" s="5" t="s">
        <v>381</v>
      </c>
      <c r="Z20" s="5" t="s">
        <v>382</v>
      </c>
      <c r="AA20" s="5" t="s">
        <v>53</v>
      </c>
    </row>
    <row r="21" customFormat="false" ht="32.8" hidden="false" customHeight="false" outlineLevel="0" collapsed="false">
      <c r="A21" s="4" t="n">
        <v>17</v>
      </c>
      <c r="B21" s="4" t="s">
        <v>360</v>
      </c>
      <c r="C21" s="4" t="s">
        <v>383</v>
      </c>
      <c r="D21" s="4" t="n">
        <v>2025</v>
      </c>
      <c r="E21" s="4" t="s">
        <v>384</v>
      </c>
      <c r="F21" s="4" t="s">
        <v>385</v>
      </c>
      <c r="G21" s="4" t="s">
        <v>386</v>
      </c>
      <c r="H21" s="4" t="s">
        <v>58</v>
      </c>
      <c r="I21" s="4" t="s">
        <v>387</v>
      </c>
      <c r="J21" s="4" t="s">
        <v>388</v>
      </c>
      <c r="K21" s="4" t="s">
        <v>389</v>
      </c>
      <c r="L21" s="4" t="s">
        <v>390</v>
      </c>
      <c r="M21" s="4" t="s">
        <v>391</v>
      </c>
      <c r="N21" s="4" t="s">
        <v>392</v>
      </c>
      <c r="O21" s="4" t="s">
        <v>393</v>
      </c>
      <c r="P21" s="4" t="s">
        <v>394</v>
      </c>
      <c r="Q21" s="4" t="s">
        <v>395</v>
      </c>
      <c r="R21" s="4" t="s">
        <v>396</v>
      </c>
      <c r="S21" s="4" t="s">
        <v>397</v>
      </c>
      <c r="T21" s="4" t="s">
        <v>398</v>
      </c>
      <c r="U21" s="4" t="s">
        <v>399</v>
      </c>
      <c r="V21" s="4" t="s">
        <v>400</v>
      </c>
      <c r="W21" s="4" t="s">
        <v>401</v>
      </c>
      <c r="X21" s="4" t="s">
        <v>402</v>
      </c>
      <c r="Y21" s="4" t="s">
        <v>403</v>
      </c>
      <c r="Z21" s="4" t="s">
        <v>404</v>
      </c>
      <c r="AA21" s="4" t="s">
        <v>53</v>
      </c>
    </row>
    <row r="22" customFormat="false" ht="32.8" hidden="false" customHeight="false" outlineLevel="0" collapsed="false">
      <c r="A22" s="5" t="n">
        <v>18</v>
      </c>
      <c r="B22" s="5" t="s">
        <v>405</v>
      </c>
      <c r="C22" s="5" t="s">
        <v>406</v>
      </c>
      <c r="D22" s="5" t="n">
        <v>2024</v>
      </c>
      <c r="E22" s="5" t="s">
        <v>407</v>
      </c>
      <c r="F22" s="5" t="s">
        <v>408</v>
      </c>
      <c r="G22" s="5" t="s">
        <v>409</v>
      </c>
      <c r="H22" s="5" t="s">
        <v>410</v>
      </c>
      <c r="I22" s="5" t="s">
        <v>411</v>
      </c>
      <c r="J22" s="5" t="s">
        <v>412</v>
      </c>
      <c r="K22" s="5" t="s">
        <v>413</v>
      </c>
      <c r="L22" s="5" t="s">
        <v>414</v>
      </c>
      <c r="M22" s="5" t="s">
        <v>415</v>
      </c>
      <c r="N22" s="5" t="s">
        <v>416</v>
      </c>
      <c r="O22" s="5" t="s">
        <v>417</v>
      </c>
      <c r="P22" s="5" t="s">
        <v>418</v>
      </c>
      <c r="Q22" s="5" t="s">
        <v>419</v>
      </c>
      <c r="R22" s="5" t="s">
        <v>130</v>
      </c>
      <c r="S22" s="5" t="s">
        <v>420</v>
      </c>
      <c r="T22" s="5" t="s">
        <v>421</v>
      </c>
      <c r="U22" s="5" t="s">
        <v>422</v>
      </c>
      <c r="V22" s="5" t="s">
        <v>423</v>
      </c>
      <c r="W22" s="5" t="s">
        <v>424</v>
      </c>
      <c r="X22" s="5" t="s">
        <v>425</v>
      </c>
      <c r="Y22" s="5" t="s">
        <v>426</v>
      </c>
      <c r="Z22" s="5" t="s">
        <v>427</v>
      </c>
      <c r="AA22" s="5" t="s">
        <v>53</v>
      </c>
    </row>
    <row r="23" customFormat="false" ht="43.25" hidden="false" customHeight="false" outlineLevel="0" collapsed="false">
      <c r="A23" s="4" t="n">
        <v>19</v>
      </c>
      <c r="B23" s="4" t="s">
        <v>428</v>
      </c>
      <c r="C23" s="4" t="s">
        <v>429</v>
      </c>
      <c r="D23" s="4" t="n">
        <v>2025</v>
      </c>
      <c r="E23" s="4" t="s">
        <v>430</v>
      </c>
      <c r="F23" s="4" t="s">
        <v>431</v>
      </c>
      <c r="G23" s="4" t="s">
        <v>432</v>
      </c>
      <c r="H23" s="4" t="s">
        <v>58</v>
      </c>
      <c r="I23" s="4" t="s">
        <v>433</v>
      </c>
      <c r="J23" s="4" t="s">
        <v>434</v>
      </c>
      <c r="K23" s="4" t="s">
        <v>435</v>
      </c>
      <c r="L23" s="4" t="s">
        <v>436</v>
      </c>
      <c r="M23" s="4" t="s">
        <v>437</v>
      </c>
      <c r="N23" s="4" t="s">
        <v>438</v>
      </c>
      <c r="O23" s="4" t="s">
        <v>439</v>
      </c>
      <c r="P23" s="4" t="s">
        <v>440</v>
      </c>
      <c r="Q23" s="4" t="s">
        <v>441</v>
      </c>
      <c r="R23" s="4" t="s">
        <v>442</v>
      </c>
      <c r="S23" s="4" t="s">
        <v>443</v>
      </c>
      <c r="T23" s="4" t="s">
        <v>444</v>
      </c>
      <c r="U23" s="4" t="s">
        <v>445</v>
      </c>
      <c r="V23" s="4" t="s">
        <v>446</v>
      </c>
      <c r="W23" s="4" t="s">
        <v>447</v>
      </c>
      <c r="X23" s="4" t="s">
        <v>448</v>
      </c>
      <c r="Y23" s="4" t="s">
        <v>449</v>
      </c>
      <c r="Z23" s="4" t="s">
        <v>450</v>
      </c>
      <c r="AA23" s="4" t="s">
        <v>53</v>
      </c>
    </row>
    <row r="24" customFormat="false" ht="53.7" hidden="false" customHeight="false" outlineLevel="0" collapsed="false">
      <c r="A24" s="5" t="n">
        <v>20</v>
      </c>
      <c r="B24" s="5" t="s">
        <v>451</v>
      </c>
      <c r="C24" s="5" t="s">
        <v>452</v>
      </c>
      <c r="D24" s="5" t="n">
        <v>2024</v>
      </c>
      <c r="E24" s="5" t="s">
        <v>453</v>
      </c>
      <c r="F24" s="5" t="s">
        <v>454</v>
      </c>
      <c r="G24" s="5" t="s">
        <v>455</v>
      </c>
      <c r="H24" s="5" t="s">
        <v>34</v>
      </c>
      <c r="I24" s="5" t="s">
        <v>456</v>
      </c>
      <c r="J24" s="5" t="s">
        <v>457</v>
      </c>
      <c r="K24" s="5" t="s">
        <v>458</v>
      </c>
      <c r="L24" s="5" t="s">
        <v>459</v>
      </c>
      <c r="M24" s="5" t="s">
        <v>415</v>
      </c>
      <c r="N24" s="5" t="s">
        <v>460</v>
      </c>
      <c r="O24" s="5" t="s">
        <v>461</v>
      </c>
      <c r="P24" s="5" t="s">
        <v>462</v>
      </c>
      <c r="Q24" s="5" t="s">
        <v>463</v>
      </c>
      <c r="R24" s="5" t="s">
        <v>464</v>
      </c>
      <c r="S24" s="5" t="s">
        <v>465</v>
      </c>
      <c r="T24" s="5" t="s">
        <v>466</v>
      </c>
      <c r="U24" s="5" t="s">
        <v>467</v>
      </c>
      <c r="V24" s="5" t="s">
        <v>468</v>
      </c>
      <c r="W24" s="5" t="s">
        <v>469</v>
      </c>
      <c r="X24" s="5" t="s">
        <v>470</v>
      </c>
      <c r="Y24" s="5" t="s">
        <v>471</v>
      </c>
      <c r="Z24" s="5" t="s">
        <v>472</v>
      </c>
      <c r="AA24" s="5" t="s">
        <v>53</v>
      </c>
    </row>
  </sheetData>
  <autoFilter ref="A4:AA24"/>
  <mergeCells count="2">
    <mergeCell ref="A1:AA1"/>
    <mergeCell ref="A2:AA2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30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40"/>
    <col collapsed="false" customWidth="true" hidden="false" outlineLevel="0" max="2" min="2" style="0" width="14"/>
    <col collapsed="false" customWidth="true" hidden="false" outlineLevel="0" max="3" min="3" style="0" width="40"/>
  </cols>
  <sheetData>
    <row r="1" customFormat="false" ht="15" hidden="false" customHeight="false" outlineLevel="0" collapsed="false">
      <c r="A1" s="6" t="s">
        <v>473</v>
      </c>
    </row>
    <row r="3" customFormat="false" ht="15" hidden="false" customHeight="false" outlineLevel="0" collapsed="false">
      <c r="A3" s="7" t="s">
        <v>474</v>
      </c>
      <c r="B3" s="7" t="s">
        <v>475</v>
      </c>
      <c r="C3" s="7" t="s">
        <v>476</v>
      </c>
    </row>
    <row r="4" customFormat="false" ht="15" hidden="false" customHeight="false" outlineLevel="0" collapsed="false">
      <c r="A4" s="8" t="s">
        <v>477</v>
      </c>
      <c r="B4" s="8" t="n">
        <f aca="false">COUNTIF('Tabel Review'!$B$5:$B$24,"*Retinopati*")</f>
        <v>6</v>
      </c>
      <c r="C4" s="9" t="s">
        <v>3</v>
      </c>
    </row>
    <row r="5" customFormat="false" ht="15" hidden="false" customHeight="false" outlineLevel="0" collapsed="false">
      <c r="A5" s="8" t="s">
        <v>478</v>
      </c>
      <c r="B5" s="8" t="n">
        <f aca="false">COUNTIF('Tabel Review'!$B$5:$B$24,"*Ginjal*")</f>
        <v>6</v>
      </c>
      <c r="C5" s="9" t="s">
        <v>3</v>
      </c>
    </row>
    <row r="6" customFormat="false" ht="15" hidden="false" customHeight="false" outlineLevel="0" collapsed="false">
      <c r="A6" s="8" t="s">
        <v>479</v>
      </c>
      <c r="B6" s="8" t="n">
        <f aca="false">COUNTIF('Tabel Review'!$B$5:$B$24,"*Neuropati*")</f>
        <v>2</v>
      </c>
      <c r="C6" s="9" t="s">
        <v>3</v>
      </c>
    </row>
    <row r="7" customFormat="false" ht="15" hidden="false" customHeight="false" outlineLevel="0" collapsed="false">
      <c r="A7" s="8" t="s">
        <v>480</v>
      </c>
      <c r="B7" s="8" t="n">
        <f aca="false">COUNTIF('Tabel Review'!$B$5:$B$24,"*Vaskular*")</f>
        <v>1</v>
      </c>
      <c r="C7" s="9" t="s">
        <v>3</v>
      </c>
    </row>
    <row r="8" customFormat="false" ht="15" hidden="false" customHeight="false" outlineLevel="0" collapsed="false">
      <c r="A8" s="8" t="s">
        <v>481</v>
      </c>
      <c r="B8" s="8" t="n">
        <f aca="false">COUNTIF('Tabel Review'!$B$5:$B$24,"*Multi*")</f>
        <v>2</v>
      </c>
      <c r="C8" s="9" t="s">
        <v>3</v>
      </c>
    </row>
    <row r="9" customFormat="false" ht="15" hidden="false" customHeight="false" outlineLevel="0" collapsed="false">
      <c r="A9" s="8" t="s">
        <v>482</v>
      </c>
      <c r="B9" s="8" t="n">
        <f aca="false">COUNTIF('Tabel Review'!$B$5:$B$24,"Preprocessing*")</f>
        <v>3</v>
      </c>
      <c r="C9" s="9" t="s">
        <v>3</v>
      </c>
    </row>
    <row r="10" customFormat="false" ht="15" hidden="false" customHeight="false" outlineLevel="0" collapsed="false">
      <c r="A10" s="8" t="s">
        <v>483</v>
      </c>
      <c r="B10" s="8" t="n">
        <f aca="false">COUNTIF('Tabel Review'!$P$5:$P$24,"*MICE*")</f>
        <v>3</v>
      </c>
      <c r="C10" s="9" t="s">
        <v>17</v>
      </c>
    </row>
    <row r="11" customFormat="false" ht="15" hidden="false" customHeight="false" outlineLevel="0" collapsed="false">
      <c r="A11" s="8" t="s">
        <v>484</v>
      </c>
      <c r="B11" s="8" t="n">
        <f aca="false">COUNTIF('Tabel Review'!$P$5:$P$24,"*mean*")</f>
        <v>5</v>
      </c>
      <c r="C11" s="9" t="s">
        <v>17</v>
      </c>
    </row>
    <row r="12" customFormat="false" ht="15" hidden="false" customHeight="false" outlineLevel="0" collapsed="false">
      <c r="A12" s="8" t="s">
        <v>485</v>
      </c>
      <c r="B12" s="8" t="n">
        <f aca="false">COUNTIF('Tabel Review'!$P$5:$P$24,"*KNN*")</f>
        <v>1</v>
      </c>
      <c r="C12" s="9" t="s">
        <v>17</v>
      </c>
    </row>
    <row r="13" customFormat="false" ht="15" hidden="false" customHeight="false" outlineLevel="0" collapsed="false">
      <c r="A13" s="8" t="s">
        <v>486</v>
      </c>
      <c r="B13" s="8" t="n">
        <f aca="false">COUNTIF('Tabel Review'!$P$5:$P$24,"*MissForest*")</f>
        <v>1</v>
      </c>
      <c r="C13" s="9" t="s">
        <v>17</v>
      </c>
    </row>
    <row r="14" customFormat="false" ht="15" hidden="false" customHeight="false" outlineLevel="0" collapsed="false">
      <c r="A14" s="8" t="s">
        <v>487</v>
      </c>
      <c r="B14" s="8" t="n">
        <f aca="false">COUNTIF('Tabel Review'!$P$5:$P$24,"*kelua*")</f>
        <v>7</v>
      </c>
      <c r="C14" s="9" t="s">
        <v>17</v>
      </c>
    </row>
    <row r="15" customFormat="false" ht="15" hidden="false" customHeight="false" outlineLevel="0" collapsed="false">
      <c r="A15" s="8" t="s">
        <v>488</v>
      </c>
      <c r="B15" s="8" t="n">
        <f aca="false">COUNTIF('Tabel Review'!$Q$5:$Q$24,"*SMOTE*")</f>
        <v>4</v>
      </c>
      <c r="C15" s="9" t="s">
        <v>18</v>
      </c>
    </row>
    <row r="16" customFormat="false" ht="15" hidden="false" customHeight="false" outlineLevel="0" collapsed="false">
      <c r="A16" s="8" t="s">
        <v>489</v>
      </c>
      <c r="B16" s="8" t="n">
        <f aca="false">COUNTIF('Tabel Review'!$Q$5:$Q$24,"*undersampling*")</f>
        <v>1</v>
      </c>
      <c r="C16" s="9" t="s">
        <v>18</v>
      </c>
    </row>
    <row r="17" customFormat="false" ht="15" hidden="false" customHeight="false" outlineLevel="0" collapsed="false">
      <c r="A17" s="8" t="s">
        <v>490</v>
      </c>
      <c r="B17" s="8" t="n">
        <f aca="false">COUNTIF('Tabel Review'!$Q$5:$Q$24,"*downsampling*")</f>
        <v>1</v>
      </c>
      <c r="C17" s="9" t="s">
        <v>18</v>
      </c>
    </row>
    <row r="18" customFormat="false" ht="15" hidden="false" customHeight="false" outlineLevel="0" collapsed="false">
      <c r="A18" s="8" t="s">
        <v>491</v>
      </c>
      <c r="B18" s="8" t="n">
        <f aca="false">COUNTIF('Tabel Review'!$R$5:$R$24,"*RFE*")</f>
        <v>7</v>
      </c>
      <c r="C18" s="9" t="s">
        <v>19</v>
      </c>
    </row>
    <row r="19" customFormat="false" ht="15" hidden="false" customHeight="false" outlineLevel="0" collapsed="false">
      <c r="A19" s="8" t="s">
        <v>492</v>
      </c>
      <c r="B19" s="8" t="n">
        <f aca="false">COUNTIF('Tabel Review'!$R$5:$R$24,"*LASSO*")</f>
        <v>5</v>
      </c>
      <c r="C19" s="9" t="s">
        <v>19</v>
      </c>
    </row>
    <row r="20" customFormat="false" ht="15" hidden="false" customHeight="false" outlineLevel="0" collapsed="false">
      <c r="A20" s="8" t="s">
        <v>493</v>
      </c>
      <c r="B20" s="8" t="n">
        <f aca="false">COUNTIF('Tabel Review'!$R$5:$R$24,"*Boruta*")</f>
        <v>2</v>
      </c>
      <c r="C20" s="9" t="s">
        <v>19</v>
      </c>
    </row>
    <row r="21" customFormat="false" ht="15" hidden="false" customHeight="false" outlineLevel="0" collapsed="false">
      <c r="A21" s="8" t="s">
        <v>494</v>
      </c>
      <c r="B21" s="8" t="n">
        <f aca="false">COUNTIF('Tabel Review'!$S$5:$S$24,"*XGB*")</f>
        <v>14</v>
      </c>
      <c r="C21" s="9" t="s">
        <v>20</v>
      </c>
    </row>
    <row r="22" customFormat="false" ht="15" hidden="false" customHeight="false" outlineLevel="0" collapsed="false">
      <c r="A22" s="8" t="s">
        <v>495</v>
      </c>
      <c r="B22" s="8" t="n">
        <f aca="false">COUNTIF('Tabel Review'!$S$5:$S$24,"*RF*")</f>
        <v>14</v>
      </c>
      <c r="C22" s="9" t="s">
        <v>20</v>
      </c>
    </row>
    <row r="23" customFormat="false" ht="15" hidden="false" customHeight="false" outlineLevel="0" collapsed="false">
      <c r="A23" s="8" t="s">
        <v>496</v>
      </c>
      <c r="B23" s="8" t="n">
        <f aca="false">COUNTIF('Tabel Review'!$W$5:$W$24,"*SHAP*")</f>
        <v>13</v>
      </c>
      <c r="C23" s="9" t="s">
        <v>24</v>
      </c>
    </row>
    <row r="24" customFormat="false" ht="15" hidden="false" customHeight="false" outlineLevel="0" collapsed="false">
      <c r="A24" s="8" t="s">
        <v>497</v>
      </c>
      <c r="B24" s="8" t="n">
        <f aca="false">COUNTIF('Tabel Review'!$W$5:$W$24,"*omogram*")</f>
        <v>4</v>
      </c>
      <c r="C24" s="9" t="s">
        <v>24</v>
      </c>
    </row>
    <row r="25" customFormat="false" ht="15" hidden="false" customHeight="false" outlineLevel="0" collapsed="false">
      <c r="A25" s="8" t="s">
        <v>498</v>
      </c>
      <c r="B25" s="8" t="n">
        <f aca="false">COUNTIF('Tabel Review'!$T$5:$T$24,"*CV*")</f>
        <v>14</v>
      </c>
      <c r="C25" s="9" t="s">
        <v>21</v>
      </c>
    </row>
    <row r="26" customFormat="false" ht="15" hidden="false" customHeight="false" outlineLevel="0" collapsed="false">
      <c r="A26" s="8" t="s">
        <v>499</v>
      </c>
      <c r="B26" s="8" t="n">
        <f aca="false">COUNTIF('Tabel Review'!$T$5:$T$24,"*+ validasi eksternal*")</f>
        <v>2</v>
      </c>
      <c r="C26" s="9" t="s">
        <v>21</v>
      </c>
    </row>
    <row r="27" customFormat="false" ht="15" hidden="false" customHeight="false" outlineLevel="0" collapsed="false">
      <c r="A27" s="8" t="s">
        <v>500</v>
      </c>
      <c r="B27" s="8" t="n">
        <f aca="false">COUNTIF('Tabel Review'!$N$5:$N$24,"*Tiongkok*")</f>
        <v>14</v>
      </c>
      <c r="C27" s="9" t="s">
        <v>15</v>
      </c>
    </row>
    <row r="28" customFormat="false" ht="15" hidden="false" customHeight="false" outlineLevel="0" collapsed="false">
      <c r="A28" s="10" t="s">
        <v>501</v>
      </c>
      <c r="B28" s="10" t="n">
        <f aca="false">COUNTA('Tabel Review'!$A$5:$A$24)</f>
        <v>20</v>
      </c>
    </row>
    <row r="30" customFormat="false" ht="15" hidden="false" customHeight="false" outlineLevel="0" collapsed="false">
      <c r="A30" s="11" t="s">
        <v>502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2026-10-19T11:21:04Z</dcterms:created>
  <dc:creator>openpyxl</dc:creator>
  <dc:description/>
  <dc:language>en-US</dc:language>
  <cp:lastModifiedBy/>
  <dcterms:modified xsi:type="dcterms:W3CDTF">2026-10-19T11:21:04Z</dcterms:modified>
  <cp:revision>0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